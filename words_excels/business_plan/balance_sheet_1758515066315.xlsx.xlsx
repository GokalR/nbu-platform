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filterPrivacy="1" codeName="ThisWorkbook" defaultThemeVersion="166925"/>
  <xr:revisionPtr revIDLastSave="0" documentId="13_ncr:1_{C29561C0-AEBF-4CC5-9D8A-D14EB8DDB1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" sheetId="1" r:id="rId1"/>
  </sheets>
  <definedNames>
    <definedName name="JR_PAGE_ANCHOR_0_1">Balance!$A$1</definedName>
    <definedName name="_xlnm.Print_Area" localSheetId="0">Balance!$A$1:$N$216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2" i="1" l="1"/>
  <c r="D212" i="1"/>
  <c r="G211" i="1"/>
  <c r="F211" i="1"/>
  <c r="E21" i="1" l="1"/>
  <c r="D21" i="1"/>
  <c r="G32" i="1" l="1"/>
  <c r="F32" i="1"/>
  <c r="F53" i="1"/>
  <c r="G53" i="1"/>
  <c r="G58" i="1"/>
  <c r="F58" i="1"/>
  <c r="G73" i="1"/>
  <c r="F73" i="1"/>
  <c r="G98" i="1"/>
  <c r="F98" i="1"/>
  <c r="G113" i="1"/>
  <c r="F113" i="1"/>
  <c r="G116" i="1"/>
  <c r="F116" i="1"/>
  <c r="G137" i="1"/>
  <c r="F137" i="1"/>
  <c r="G142" i="1"/>
  <c r="F142" i="1"/>
  <c r="G145" i="1"/>
  <c r="F145" i="1"/>
  <c r="G168" i="1"/>
  <c r="F168" i="1"/>
  <c r="G171" i="1"/>
  <c r="F171" i="1"/>
  <c r="G208" i="1"/>
  <c r="F208" i="1"/>
  <c r="G29" i="1"/>
  <c r="F29" i="1"/>
  <c r="G20" i="1"/>
  <c r="F20" i="1"/>
</calcChain>
</file>

<file path=xl/sharedStrings.xml><?xml version="1.0" encoding="utf-8"?>
<sst xmlns="http://schemas.openxmlformats.org/spreadsheetml/2006/main" count="436" uniqueCount="386">
  <si>
    <t>№</t>
  </si>
  <si>
    <t>Кўрсаткич номи</t>
  </si>
  <si>
    <t>Сатр коди</t>
  </si>
  <si>
    <t>Ҳисобот даври бошига</t>
  </si>
  <si>
    <t>Ҳисобот даври охирига</t>
  </si>
  <si>
    <t>Наименование показателя</t>
  </si>
  <si>
    <t>Код строки</t>
  </si>
  <si>
    <t>На начало отчетного периода</t>
  </si>
  <si>
    <t xml:space="preserve">На конец отчетного </t>
  </si>
  <si>
    <t xml:space="preserve"> </t>
  </si>
  <si>
    <r>
      <rPr>
        <b/>
        <sz val="8"/>
        <color rgb="FF000000"/>
        <rFont val="DejaVu Serif"/>
      </rPr>
      <t>АКТИВ</t>
    </r>
  </si>
  <si>
    <r>
      <rPr>
        <b/>
        <sz val="8"/>
        <color rgb="FF000000"/>
        <rFont val="DejaVu Serif"/>
      </rPr>
      <t>I. Долгосрочные активы</t>
    </r>
  </si>
  <si>
    <r>
      <rPr>
        <b/>
        <sz val="8"/>
        <color rgb="FF000000"/>
        <rFont val="DejaVu Serif"/>
      </rPr>
      <t>Асосий воситалар:</t>
    </r>
  </si>
  <si>
    <r>
      <rPr>
        <b/>
        <sz val="8"/>
        <color rgb="FF000000"/>
        <rFont val="DejaVu Serif"/>
      </rPr>
      <t>Основные средства:</t>
    </r>
  </si>
  <si>
    <t xml:space="preserve"> 1</t>
  </si>
  <si>
    <r>
      <rPr>
        <sz val="8"/>
        <color rgb="FF000000"/>
        <rFont val="DejaVu Serif"/>
      </rPr>
      <t>Бошланғич (қайта тиклаш) қиймати (0100, 0300)</t>
    </r>
  </si>
  <si>
    <t>010</t>
  </si>
  <si>
    <r>
      <rPr>
        <sz val="8"/>
        <color rgb="FF000000"/>
        <rFont val="DejaVu Serif"/>
      </rPr>
      <t>Первоначальная (восстановительная) стоимость (0100, 0300)</t>
    </r>
  </si>
  <si>
    <t xml:space="preserve"> 2</t>
  </si>
  <si>
    <r>
      <rPr>
        <sz val="8"/>
        <color rgb="FF000000"/>
        <rFont val="DejaVu Serif"/>
      </rPr>
      <t>Эскириш суммаси (0200)</t>
    </r>
  </si>
  <si>
    <t>011</t>
  </si>
  <si>
    <r>
      <rPr>
        <sz val="8"/>
        <color rgb="FF000000"/>
        <rFont val="DejaVu Serif"/>
      </rPr>
      <t>Сумма износа (0200)</t>
    </r>
  </si>
  <si>
    <t xml:space="preserve"> 3</t>
  </si>
  <si>
    <t>012</t>
  </si>
  <si>
    <r>
      <rPr>
        <sz val="8"/>
        <color rgb="FF000000"/>
        <rFont val="DejaVu Serif"/>
      </rPr>
      <t>Остаточная (балансовая) стоимость (стр. 010-011)</t>
    </r>
  </si>
  <si>
    <r>
      <rPr>
        <b/>
        <sz val="8"/>
        <color rgb="FF000000"/>
        <rFont val="DejaVu Serif"/>
      </rPr>
      <t>Номоддий активлар:</t>
    </r>
  </si>
  <si>
    <r>
      <rPr>
        <b/>
        <sz val="8"/>
        <color rgb="FF000000"/>
        <rFont val="DejaVu Serif"/>
      </rPr>
      <t>Нематериальные активы:</t>
    </r>
  </si>
  <si>
    <t xml:space="preserve"> 4</t>
  </si>
  <si>
    <r>
      <rPr>
        <sz val="8"/>
        <color rgb="FF000000"/>
        <rFont val="DejaVu Serif"/>
      </rPr>
      <t>Бошланғич қиймати (0400)</t>
    </r>
  </si>
  <si>
    <t>020</t>
  </si>
  <si>
    <r>
      <rPr>
        <sz val="8"/>
        <color rgb="FF000000"/>
        <rFont val="DejaVu Serif"/>
      </rPr>
      <t>Первоначальная стоимость (0400)</t>
    </r>
  </si>
  <si>
    <t xml:space="preserve"> 5</t>
  </si>
  <si>
    <r>
      <rPr>
        <sz val="8"/>
        <color rgb="FF000000"/>
        <rFont val="DejaVu Serif"/>
      </rPr>
      <t>Амортизация суммаси (0500)</t>
    </r>
  </si>
  <si>
    <t>021</t>
  </si>
  <si>
    <r>
      <rPr>
        <sz val="8"/>
        <color rgb="FF000000"/>
        <rFont val="DejaVu Serif"/>
      </rPr>
      <t>Сумма амортизации (0500)</t>
    </r>
  </si>
  <si>
    <t xml:space="preserve"> 6</t>
  </si>
  <si>
    <t>022</t>
  </si>
  <si>
    <r>
      <rPr>
        <sz val="8"/>
        <color rgb="FF000000"/>
        <rFont val="DejaVu Serif"/>
      </rPr>
      <t>Остаточная (балансовая) стоимость (стр. 020-021)</t>
    </r>
  </si>
  <si>
    <t xml:space="preserve"> 7</t>
  </si>
  <si>
    <r>
      <rPr>
        <b/>
        <sz val="8"/>
        <color rgb="FF000000"/>
        <rFont val="DejaVu Serif"/>
      </rPr>
      <t>Узоқ муддатли инвестициялар, жами (сатр.040+050+060+070+080), шу жумладан</t>
    </r>
  </si>
  <si>
    <t>030</t>
  </si>
  <si>
    <r>
      <rPr>
        <b/>
        <sz val="8"/>
        <color rgb="FF000000"/>
        <rFont val="DejaVu Serif"/>
      </rPr>
      <t>Долгосрочные инвестиции, всего (стр.040+050+060+070+080), в том числе:</t>
    </r>
  </si>
  <si>
    <t xml:space="preserve"> 8</t>
  </si>
  <si>
    <t>040</t>
  </si>
  <si>
    <r>
      <rPr>
        <sz val="8"/>
        <color rgb="FF000000"/>
        <rFont val="DejaVu Serif"/>
      </rPr>
      <t>Ценные бумаги (0610)</t>
    </r>
  </si>
  <si>
    <t xml:space="preserve"> 9</t>
  </si>
  <si>
    <r>
      <rPr>
        <sz val="8"/>
        <color rgb="FF000000"/>
        <rFont val="DejaVu Serif"/>
      </rPr>
      <t>Шўъба хўжалик жамиятларига инвестициялар (0620)</t>
    </r>
  </si>
  <si>
    <t>050</t>
  </si>
  <si>
    <r>
      <rPr>
        <sz val="8"/>
        <color rgb="FF000000"/>
        <rFont val="DejaVu Serif"/>
      </rPr>
      <t>Инвестиции в дочерние хозяйственные общества (0620)</t>
    </r>
  </si>
  <si>
    <t xml:space="preserve"> 10</t>
  </si>
  <si>
    <t>060</t>
  </si>
  <si>
    <r>
      <rPr>
        <sz val="8"/>
        <color rgb="FF000000"/>
        <rFont val="DejaVu Serif"/>
      </rPr>
      <t>Инвестиции в зависимые хозяйственные общества (0630)</t>
    </r>
  </si>
  <si>
    <t xml:space="preserve"> 11</t>
  </si>
  <si>
    <r>
      <rPr>
        <sz val="8"/>
        <color rgb="FF000000"/>
        <rFont val="DejaVu Serif"/>
      </rPr>
      <t>Чет эл капитали мавжуд бўлган корхоналарга инвестициялар (0640)</t>
    </r>
  </si>
  <si>
    <t>070</t>
  </si>
  <si>
    <r>
      <rPr>
        <sz val="8"/>
        <color rgb="FF000000"/>
        <rFont val="DejaVu Serif"/>
      </rPr>
      <t>Инвестиции в предприятие с иностранным капиталом (0640)</t>
    </r>
  </si>
  <si>
    <t xml:space="preserve"> 12</t>
  </si>
  <si>
    <r>
      <rPr>
        <sz val="8"/>
        <color rgb="FF000000"/>
        <rFont val="DejaVu Serif"/>
      </rPr>
      <t>Бошқа узоқ муддатли инвестициялар (0690)</t>
    </r>
  </si>
  <si>
    <t>080</t>
  </si>
  <si>
    <r>
      <rPr>
        <sz val="8"/>
        <color rgb="FF000000"/>
        <rFont val="DejaVu Serif"/>
      </rPr>
      <t>Прочие долгосрочные инвестиции (0690)</t>
    </r>
  </si>
  <si>
    <t xml:space="preserve"> 13</t>
  </si>
  <si>
    <r>
      <rPr>
        <sz val="8"/>
        <color rgb="FF000000"/>
        <rFont val="DejaVu Serif"/>
      </rPr>
      <t>Ўрнатиладиган асбоб-ускуналар (0700)</t>
    </r>
  </si>
  <si>
    <t>090</t>
  </si>
  <si>
    <r>
      <rPr>
        <sz val="8"/>
        <color rgb="FF000000"/>
        <rFont val="DejaVu Serif"/>
      </rPr>
      <t>Оборудование к установке (0700)</t>
    </r>
  </si>
  <si>
    <t xml:space="preserve"> 14</t>
  </si>
  <si>
    <r>
      <rPr>
        <sz val="8"/>
        <color rgb="FF000000"/>
        <rFont val="DejaVu Serif"/>
      </rPr>
      <t>Капитал қўйилмалар (0800)</t>
    </r>
  </si>
  <si>
    <t>100</t>
  </si>
  <si>
    <r>
      <rPr>
        <sz val="8"/>
        <color rgb="FF000000"/>
        <rFont val="DejaVu Serif"/>
      </rPr>
      <t>Капитальные вложения (0800)</t>
    </r>
  </si>
  <si>
    <t xml:space="preserve"> 15</t>
  </si>
  <si>
    <r>
      <rPr>
        <sz val="8"/>
        <color rgb="FF000000"/>
        <rFont val="DejaVu Serif"/>
      </rPr>
      <t>Узоқ муддатли дебиторлик қарзлари (0910, 0920, 0930, 0940)</t>
    </r>
  </si>
  <si>
    <t>110</t>
  </si>
  <si>
    <r>
      <rPr>
        <sz val="8"/>
        <color rgb="FF000000"/>
        <rFont val="DejaVu Serif"/>
      </rPr>
      <t>Долгосрочная дебиторская задолженность (0910, 0920, 0930, 0940)</t>
    </r>
  </si>
  <si>
    <t xml:space="preserve"> 16</t>
  </si>
  <si>
    <r>
      <rPr>
        <sz val="8"/>
        <color rgb="FF000000"/>
        <rFont val="DejaVu Serif"/>
      </rPr>
      <t>Узоқ муддатли кечиктирилган харажатлар (0950, 0960, 0990)</t>
    </r>
  </si>
  <si>
    <t>120</t>
  </si>
  <si>
    <r>
      <rPr>
        <sz val="8"/>
        <color rgb="FF000000"/>
        <rFont val="DejaVu Serif"/>
      </rPr>
      <t>Долгосрочные отсроченные расходы (0950, 0960, 0990)</t>
    </r>
  </si>
  <si>
    <t xml:space="preserve"> 17</t>
  </si>
  <si>
    <r>
      <rPr>
        <b/>
        <sz val="8"/>
        <color rgb="FF000000"/>
        <rFont val="DejaVu Serif"/>
      </rPr>
      <t>I бўлим бўйича жами (сатр. 012+022+030+090+100+110+120)</t>
    </r>
  </si>
  <si>
    <t>130</t>
  </si>
  <si>
    <r>
      <rPr>
        <b/>
        <sz val="8"/>
        <color rgb="FF000000"/>
        <rFont val="DejaVu Serif"/>
      </rPr>
      <t>Итого по разделу I (стр. 012+022+030+090+100+110+120)</t>
    </r>
  </si>
  <si>
    <r>
      <rPr>
        <b/>
        <sz val="8"/>
        <color rgb="FF000000"/>
        <rFont val="DejaVu Serif"/>
      </rPr>
      <t>II. Жорий активлар</t>
    </r>
  </si>
  <si>
    <r>
      <rPr>
        <b/>
        <sz val="8"/>
        <color rgb="FF000000"/>
        <rFont val="DejaVu Serif"/>
      </rPr>
      <t>II. Текущие активы</t>
    </r>
  </si>
  <si>
    <t xml:space="preserve"> 18</t>
  </si>
  <si>
    <r>
      <rPr>
        <b/>
        <sz val="8"/>
        <color rgb="FF000000"/>
        <rFont val="DejaVu Serif"/>
      </rPr>
      <t>Товар-моддий захиралари, жами (сатр.150+160+170+180), шу жумладан:</t>
    </r>
  </si>
  <si>
    <t>140</t>
  </si>
  <si>
    <r>
      <rPr>
        <b/>
        <sz val="8"/>
        <color rgb="FF000000"/>
        <rFont val="DejaVu Serif"/>
      </rPr>
      <t>Товарно-материальные запасы, всего (стр.150+160+170+180), в том числе:</t>
    </r>
  </si>
  <si>
    <t xml:space="preserve"> 19</t>
  </si>
  <si>
    <r>
      <rPr>
        <sz val="8"/>
        <color rgb="FF000000"/>
        <rFont val="DejaVu Serif"/>
      </rPr>
      <t>Ишлаб чиқариш захиралари (1000, 1100, 1500, 1600)</t>
    </r>
  </si>
  <si>
    <t>150</t>
  </si>
  <si>
    <r>
      <rPr>
        <sz val="8"/>
        <color rgb="FF000000"/>
        <rFont val="DejaVu Serif"/>
      </rPr>
      <t>Производственные запасы (1000, 1100, 1500, 1600)</t>
    </r>
  </si>
  <si>
    <t xml:space="preserve"> 20</t>
  </si>
  <si>
    <r>
      <rPr>
        <sz val="8"/>
        <color rgb="FF000000"/>
        <rFont val="DejaVu Serif"/>
      </rPr>
      <t>Тугалланмаган ишлаб чиқариш (2000, 2100, 2300, 2700)</t>
    </r>
  </si>
  <si>
    <t>160</t>
  </si>
  <si>
    <r>
      <rPr>
        <sz val="8"/>
        <color rgb="FF000000"/>
        <rFont val="DejaVu Serif"/>
      </rPr>
      <t>Незавершенное производство (2000, 2100, 2300, 2700)</t>
    </r>
  </si>
  <si>
    <t xml:space="preserve"> 21</t>
  </si>
  <si>
    <r>
      <rPr>
        <sz val="8"/>
        <color rgb="FF000000"/>
        <rFont val="DejaVu Serif"/>
      </rPr>
      <t>Тайёр маҳсулот (2800)</t>
    </r>
  </si>
  <si>
    <t>170</t>
  </si>
  <si>
    <r>
      <rPr>
        <sz val="8"/>
        <color rgb="FF000000"/>
        <rFont val="DejaVu Serif"/>
      </rPr>
      <t>Готовая продукция (2800)</t>
    </r>
  </si>
  <si>
    <t xml:space="preserve"> 22</t>
  </si>
  <si>
    <r>
      <rPr>
        <sz val="8"/>
        <color rgb="FF000000"/>
        <rFont val="DejaVu Serif"/>
      </rPr>
      <t>Товарлар (2900 дан 2980 нинг айирмаси)</t>
    </r>
  </si>
  <si>
    <t>180</t>
  </si>
  <si>
    <r>
      <rPr>
        <sz val="8"/>
        <color rgb="FF000000"/>
        <rFont val="DejaVu Serif"/>
      </rPr>
      <t>Товары (2900 за минусом 2980)</t>
    </r>
  </si>
  <si>
    <t xml:space="preserve"> 23</t>
  </si>
  <si>
    <r>
      <rPr>
        <sz val="8"/>
        <color rgb="FF000000"/>
        <rFont val="DejaVu Serif"/>
      </rPr>
      <t>Келгуси давр харажатлари (3100)</t>
    </r>
  </si>
  <si>
    <t>190</t>
  </si>
  <si>
    <r>
      <rPr>
        <sz val="8"/>
        <color rgb="FF000000"/>
        <rFont val="DejaVu Serif"/>
      </rPr>
      <t>Отсроченные расходы (3200)</t>
    </r>
  </si>
  <si>
    <t xml:space="preserve"> 24</t>
  </si>
  <si>
    <r>
      <rPr>
        <sz val="8"/>
        <color rgb="FF000000"/>
        <rFont val="DejaVu Serif"/>
      </rPr>
      <t>Кечиктирилган харажатлар (3200)</t>
    </r>
  </si>
  <si>
    <t>200</t>
  </si>
  <si>
    <t xml:space="preserve"> 25</t>
  </si>
  <si>
    <r>
      <rPr>
        <b/>
        <sz val="8"/>
        <color rgb="FF000000"/>
        <rFont val="DejaVu Serif"/>
      </rPr>
      <t>Дебиторлар, жами (сатр.220+240+250+260+270+280+290+300+310)</t>
    </r>
  </si>
  <si>
    <t>210</t>
  </si>
  <si>
    <r>
      <rPr>
        <b/>
        <sz val="8"/>
        <color rgb="FF000000"/>
        <rFont val="DejaVu Serif"/>
      </rPr>
      <t>Дебиторы, всего (стр.220+240+250+260+270+280+290+300+310)</t>
    </r>
  </si>
  <si>
    <t xml:space="preserve"> 26</t>
  </si>
  <si>
    <t>211</t>
  </si>
  <si>
    <t xml:space="preserve"> 27</t>
  </si>
  <si>
    <r>
      <rPr>
        <sz val="8"/>
        <color rgb="FF000000"/>
        <rFont val="DejaVu Serif"/>
      </rPr>
      <t>Харидор ва буюртмачиларнинг қарзи (4000 дан 4900 нинг айирмаси)</t>
    </r>
  </si>
  <si>
    <t>220</t>
  </si>
  <si>
    <r>
      <rPr>
        <sz val="8"/>
        <color rgb="FF000000"/>
        <rFont val="DejaVu Serif"/>
      </rPr>
      <t>Задолженность покупателей и заказчиков (4000 за минусом 4900)</t>
    </r>
  </si>
  <si>
    <t xml:space="preserve"> 28</t>
  </si>
  <si>
    <r>
      <rPr>
        <sz val="8"/>
        <color rgb="FF000000"/>
        <rFont val="DejaVu Serif"/>
      </rPr>
      <t>Ажратилган бўлинмаларнинг қарзи (4110)</t>
    </r>
  </si>
  <si>
    <t>230</t>
  </si>
  <si>
    <r>
      <rPr>
        <sz val="8"/>
        <color rgb="FF000000"/>
        <rFont val="DejaVu Serif"/>
      </rPr>
      <t>Задолженность обособленных подразделений (4110)</t>
    </r>
  </si>
  <si>
    <t xml:space="preserve"> 29</t>
  </si>
  <si>
    <r>
      <rPr>
        <sz val="8"/>
        <color rgb="FF000000"/>
        <rFont val="DejaVu Serif"/>
      </rPr>
      <t>Шўъба ва қарам хўжалик жамиятларнинг қарзи (4120)</t>
    </r>
  </si>
  <si>
    <t>240</t>
  </si>
  <si>
    <r>
      <rPr>
        <sz val="8"/>
        <color rgb="FF000000"/>
        <rFont val="DejaVu Serif"/>
      </rPr>
      <t>Задолженность дочерних и зависимых хозяйственных обществ (4120)</t>
    </r>
  </si>
  <si>
    <t xml:space="preserve"> 30</t>
  </si>
  <si>
    <r>
      <rPr>
        <sz val="8"/>
        <color rgb="FF000000"/>
        <rFont val="DejaVu Serif"/>
      </rPr>
      <t>Ходимларга берилган бўнаклар (4200)</t>
    </r>
  </si>
  <si>
    <t>250</t>
  </si>
  <si>
    <r>
      <rPr>
        <sz val="8"/>
        <color rgb="FF000000"/>
        <rFont val="DejaVu Serif"/>
      </rPr>
      <t>Авансы, выданные персоналу (4200)</t>
    </r>
  </si>
  <si>
    <t xml:space="preserve"> 31</t>
  </si>
  <si>
    <r>
      <rPr>
        <sz val="8"/>
        <color rgb="FF000000"/>
        <rFont val="DejaVu Serif"/>
      </rPr>
      <t>Мол етказиб берувчилар ва пудратчиларга берилган бўнаклар (4300)</t>
    </r>
  </si>
  <si>
    <t>260</t>
  </si>
  <si>
    <r>
      <rPr>
        <sz val="8"/>
        <color rgb="FF000000"/>
        <rFont val="DejaVu Serif"/>
      </rPr>
      <t>Авансы, выданные поставщикам и подрядчикам (4300)</t>
    </r>
  </si>
  <si>
    <t xml:space="preserve"> 32</t>
  </si>
  <si>
    <r>
      <rPr>
        <sz val="8"/>
        <color rgb="FF000000"/>
        <rFont val="DejaVu Serif"/>
      </rPr>
      <t>Бюджетга солиқ ва йиғимлар бўйича бўнак тўловлари (4400)</t>
    </r>
  </si>
  <si>
    <t>270</t>
  </si>
  <si>
    <r>
      <rPr>
        <sz val="8"/>
        <color rgb="FF000000"/>
        <rFont val="DejaVu Serif"/>
      </rPr>
      <t>Авансовые платежи по налогам и сборам в бюджет (4400)</t>
    </r>
  </si>
  <si>
    <t xml:space="preserve"> 33</t>
  </si>
  <si>
    <r>
      <rPr>
        <sz val="8"/>
        <color rgb="FF000000"/>
        <rFont val="DejaVu Serif"/>
      </rPr>
      <t>Мақсадли давлат жамғармалари ва суғурталар бўйича бўнак тўловлари (4500)</t>
    </r>
  </si>
  <si>
    <t>280</t>
  </si>
  <si>
    <r>
      <rPr>
        <sz val="8"/>
        <color rgb="FF000000"/>
        <rFont val="DejaVu Serif"/>
      </rPr>
      <t>Авансовые платежи в государственные целевые фонды и по страхованию (4500)</t>
    </r>
  </si>
  <si>
    <t xml:space="preserve"> 34</t>
  </si>
  <si>
    <r>
      <rPr>
        <sz val="8"/>
        <color rgb="FF000000"/>
        <rFont val="DejaVu Serif"/>
      </rPr>
      <t>Таъсисчиларнинг устав капиталига улушлар бўйича қарзи (4600)</t>
    </r>
  </si>
  <si>
    <t>290</t>
  </si>
  <si>
    <r>
      <rPr>
        <sz val="8"/>
        <color rgb="FF000000"/>
        <rFont val="DejaVu Serif"/>
      </rPr>
      <t>Задолженность учредителей по вкладам в уставный капитал (4600</t>
    </r>
  </si>
  <si>
    <t xml:space="preserve"> 35</t>
  </si>
  <si>
    <r>
      <rPr>
        <sz val="8"/>
        <color rgb="FF000000"/>
        <rFont val="DejaVu Serif"/>
      </rPr>
      <t>Ходимларнинг бошқа операциялар бўйича қарзи (4700)</t>
    </r>
  </si>
  <si>
    <t>300</t>
  </si>
  <si>
    <r>
      <rPr>
        <sz val="8"/>
        <color rgb="FF000000"/>
        <rFont val="DejaVu Serif"/>
      </rPr>
      <t>Задолженность персонала по прочим операциям (4700)</t>
    </r>
  </si>
  <si>
    <t xml:space="preserve"> 36</t>
  </si>
  <si>
    <r>
      <rPr>
        <sz val="8"/>
        <color rgb="FF000000"/>
        <rFont val="DejaVu Serif"/>
      </rPr>
      <t>Бошқа дебиторлик қарзлари (4800)</t>
    </r>
  </si>
  <si>
    <t>310</t>
  </si>
  <si>
    <r>
      <rPr>
        <sz val="8"/>
        <color rgb="FF000000"/>
        <rFont val="DejaVu Serif"/>
      </rPr>
      <t>Прочие дебиторские задолженности (4800)</t>
    </r>
  </si>
  <si>
    <t xml:space="preserve"> 37</t>
  </si>
  <si>
    <r>
      <rPr>
        <b/>
        <sz val="8"/>
        <color rgb="FF000000"/>
        <rFont val="DejaVu Serif"/>
      </rPr>
      <t>Пул маблағлари, жами (сатр.330+340+350+360), шу жумладан:</t>
    </r>
  </si>
  <si>
    <t>320</t>
  </si>
  <si>
    <r>
      <rPr>
        <b/>
        <sz val="8"/>
        <color rgb="FF000000"/>
        <rFont val="DejaVu Serif"/>
      </rPr>
      <t>Денежные средства, всего (стр.330+340+350+360), в том числе:</t>
    </r>
  </si>
  <si>
    <t xml:space="preserve"> 38</t>
  </si>
  <si>
    <r>
      <rPr>
        <sz val="8"/>
        <color rgb="FF000000"/>
        <rFont val="DejaVu Serif"/>
      </rPr>
      <t>Кассадаги пул маблағлари (5000)</t>
    </r>
  </si>
  <si>
    <t>330</t>
  </si>
  <si>
    <r>
      <rPr>
        <sz val="8"/>
        <color rgb="FF000000"/>
        <rFont val="DejaVu Serif"/>
      </rPr>
      <t>Денежные средства в кассе (5000)</t>
    </r>
  </si>
  <si>
    <t xml:space="preserve"> 39</t>
  </si>
  <si>
    <r>
      <rPr>
        <sz val="8"/>
        <color rgb="FF000000"/>
        <rFont val="DejaVu Serif"/>
      </rPr>
      <t>Ҳисоб-китоб счётидаги пул маблағлари (5100)</t>
    </r>
  </si>
  <si>
    <t>340</t>
  </si>
  <si>
    <r>
      <rPr>
        <sz val="8"/>
        <color rgb="FF000000"/>
        <rFont val="DejaVu Serif"/>
      </rPr>
      <t>Денежные средства на расчетном счете (5100)</t>
    </r>
  </si>
  <si>
    <t xml:space="preserve"> 40</t>
  </si>
  <si>
    <r>
      <rPr>
        <sz val="8"/>
        <color rgb="FF000000"/>
        <rFont val="DejaVu Serif"/>
      </rPr>
      <t>Чет эл валютасидаги пул маблағлари (5200)</t>
    </r>
  </si>
  <si>
    <t>350</t>
  </si>
  <si>
    <r>
      <rPr>
        <sz val="8"/>
        <color rgb="FF000000"/>
        <rFont val="DejaVu Serif"/>
      </rPr>
      <t>Денежные средства в иностранной валюте (5200)</t>
    </r>
  </si>
  <si>
    <t xml:space="preserve"> 41</t>
  </si>
  <si>
    <r>
      <rPr>
        <sz val="8"/>
        <color rgb="FF000000"/>
        <rFont val="DejaVu Serif"/>
      </rPr>
      <t>Бошқа пул маблағлари ва эквивалентлари (5500, 5600, 5700)</t>
    </r>
  </si>
  <si>
    <t>360</t>
  </si>
  <si>
    <r>
      <rPr>
        <sz val="8"/>
        <color rgb="FF000000"/>
        <rFont val="DejaVu Serif"/>
      </rPr>
      <t>Прочие денежные средства и эквиваленты (5500, 5600, 5700)</t>
    </r>
  </si>
  <si>
    <t xml:space="preserve"> 42</t>
  </si>
  <si>
    <t>370</t>
  </si>
  <si>
    <r>
      <rPr>
        <sz val="8"/>
        <color rgb="FF000000"/>
        <rFont val="DejaVu Serif"/>
      </rPr>
      <t>Краткосрочные инвестиции (5800)</t>
    </r>
  </si>
  <si>
    <t xml:space="preserve"> 43</t>
  </si>
  <si>
    <r>
      <rPr>
        <sz val="8"/>
        <color rgb="FF000000"/>
        <rFont val="DejaVu Serif"/>
      </rPr>
      <t>Бошқа жорий активлар (5900)</t>
    </r>
  </si>
  <si>
    <t>380</t>
  </si>
  <si>
    <r>
      <rPr>
        <sz val="8"/>
        <color rgb="FF000000"/>
        <rFont val="DejaVu Serif"/>
      </rPr>
      <t>Прочие текущие активы (5900)</t>
    </r>
  </si>
  <si>
    <t xml:space="preserve"> 44</t>
  </si>
  <si>
    <r>
      <rPr>
        <b/>
        <sz val="8"/>
        <color rgb="FF000000"/>
        <rFont val="DejaVu Serif"/>
      </rPr>
      <t>II бўлим бўйича жами (сатр.140+190+200+210+320+370+380)</t>
    </r>
  </si>
  <si>
    <t>390</t>
  </si>
  <si>
    <r>
      <rPr>
        <b/>
        <sz val="8"/>
        <color rgb="FF000000"/>
        <rFont val="DejaVu Serif"/>
      </rPr>
      <t>Итого по разделу II (стр. 140+190+200+210+320+370+380)</t>
    </r>
  </si>
  <si>
    <t xml:space="preserve"> 45</t>
  </si>
  <si>
    <r>
      <rPr>
        <b/>
        <sz val="8"/>
        <color rgb="FF000000"/>
        <rFont val="DejaVu Serif"/>
      </rPr>
      <t>Баланс активи бўйича жами (сатр.130+390)</t>
    </r>
  </si>
  <si>
    <t>400</t>
  </si>
  <si>
    <r>
      <rPr>
        <b/>
        <sz val="8"/>
        <color rgb="FF000000"/>
        <rFont val="DejaVu Serif"/>
      </rPr>
      <t>Всего по активу баланса (стр.130+стр.390)</t>
    </r>
  </si>
  <si>
    <r>
      <rPr>
        <b/>
        <sz val="8"/>
        <color rgb="FF000000"/>
        <rFont val="DejaVu Serif"/>
      </rPr>
      <t>ПАССИВ</t>
    </r>
  </si>
  <si>
    <r>
      <rPr>
        <b/>
        <sz val="8"/>
        <color rgb="FF000000"/>
        <rFont val="DejaVu Serif"/>
      </rPr>
      <t>I. Ўз маблаГлари манбалари</t>
    </r>
  </si>
  <si>
    <r>
      <rPr>
        <b/>
        <sz val="8"/>
        <color rgb="FF000000"/>
        <rFont val="DejaVu Serif"/>
      </rPr>
      <t>I. Источники собственных средств</t>
    </r>
  </si>
  <si>
    <t xml:space="preserve"> 46</t>
  </si>
  <si>
    <r>
      <rPr>
        <sz val="8"/>
        <color rgb="FF000000"/>
        <rFont val="DejaVu Serif"/>
      </rPr>
      <t>Устав капитали (8300)</t>
    </r>
  </si>
  <si>
    <t>410</t>
  </si>
  <si>
    <r>
      <rPr>
        <sz val="8"/>
        <color rgb="FF000000"/>
        <rFont val="DejaVu Serif"/>
      </rPr>
      <t>Уставный капитал (8300)</t>
    </r>
  </si>
  <si>
    <t xml:space="preserve"> 47</t>
  </si>
  <si>
    <r>
      <rPr>
        <sz val="8"/>
        <color rgb="FF000000"/>
        <rFont val="DejaVu Serif"/>
      </rPr>
      <t>Қўшилган капитал (8400)</t>
    </r>
  </si>
  <si>
    <t>420</t>
  </si>
  <si>
    <r>
      <rPr>
        <sz val="8"/>
        <color rgb="FF000000"/>
        <rFont val="DejaVu Serif"/>
      </rPr>
      <t>Добавленный капитал (8400)</t>
    </r>
  </si>
  <si>
    <t xml:space="preserve"> 48</t>
  </si>
  <si>
    <r>
      <rPr>
        <sz val="8"/>
        <color rgb="FF000000"/>
        <rFont val="DejaVu Serif"/>
      </rPr>
      <t>Резерв капитали (8500)</t>
    </r>
  </si>
  <si>
    <t>430</t>
  </si>
  <si>
    <r>
      <rPr>
        <sz val="8"/>
        <color rgb="FF000000"/>
        <rFont val="DejaVu Serif"/>
      </rPr>
      <t>Резервный капитал (8500)</t>
    </r>
  </si>
  <si>
    <t xml:space="preserve"> 49</t>
  </si>
  <si>
    <r>
      <rPr>
        <sz val="8"/>
        <color rgb="FF000000"/>
        <rFont val="DejaVu Serif"/>
      </rPr>
      <t>Сотиб олинган хусусий акциялар (8600)</t>
    </r>
  </si>
  <si>
    <t>440</t>
  </si>
  <si>
    <r>
      <rPr>
        <sz val="8"/>
        <color rgb="FF000000"/>
        <rFont val="DejaVu Serif"/>
      </rPr>
      <t>Выкупленные собственные акции (8600)</t>
    </r>
  </si>
  <si>
    <t xml:space="preserve"> 50</t>
  </si>
  <si>
    <r>
      <rPr>
        <sz val="8"/>
        <color rgb="FF000000"/>
        <rFont val="DejaVu Serif"/>
      </rPr>
      <t>Тақсимланмаган фойда (қопланмаган зарар) (8700)</t>
    </r>
  </si>
  <si>
    <t>450</t>
  </si>
  <si>
    <r>
      <rPr>
        <sz val="8"/>
        <color rgb="FF000000"/>
        <rFont val="DejaVu Serif"/>
      </rPr>
      <t>Нераспределенная прибыль (непокрытый убыток) (8700)</t>
    </r>
  </si>
  <si>
    <t xml:space="preserve"> 51</t>
  </si>
  <si>
    <r>
      <rPr>
        <sz val="8"/>
        <color rgb="FF000000"/>
        <rFont val="DejaVu Serif"/>
      </rPr>
      <t>Мақсадли тушумлар (8800)</t>
    </r>
  </si>
  <si>
    <t>460</t>
  </si>
  <si>
    <t xml:space="preserve"> 52</t>
  </si>
  <si>
    <r>
      <rPr>
        <sz val="8"/>
        <color rgb="FF000000"/>
        <rFont val="DejaVu Serif"/>
      </rPr>
      <t>Келгуси давр харажатлари ва тўловлари учун захиралар (8900)</t>
    </r>
  </si>
  <si>
    <t>470</t>
  </si>
  <si>
    <r>
      <rPr>
        <sz val="8"/>
        <color rgb="FF000000"/>
        <rFont val="DejaVu Serif"/>
      </rPr>
      <t>Резервы предстоящих расходов и платежей (8900)</t>
    </r>
  </si>
  <si>
    <t xml:space="preserve"> 53</t>
  </si>
  <si>
    <r>
      <rPr>
        <b/>
        <sz val="8"/>
        <color rgb="FF000000"/>
        <rFont val="DejaVu Serif"/>
      </rPr>
      <t>I бўлим бўйича жами (сатр.410+420+430-440+450+460+470)</t>
    </r>
  </si>
  <si>
    <t>480</t>
  </si>
  <si>
    <r>
      <rPr>
        <b/>
        <sz val="8"/>
        <color rgb="FF000000"/>
        <rFont val="DejaVu Serif"/>
      </rPr>
      <t>Итого по разделу I (стр.410+420+430-440+450+460+470)</t>
    </r>
  </si>
  <si>
    <r>
      <rPr>
        <b/>
        <sz val="8"/>
        <color rgb="FF000000"/>
        <rFont val="DejaVu Serif"/>
      </rPr>
      <t>II. Мажбуриятлар</t>
    </r>
  </si>
  <si>
    <r>
      <rPr>
        <b/>
        <sz val="8"/>
        <color rgb="FF000000"/>
        <rFont val="DejaVu Serif"/>
      </rPr>
      <t>II. Обязательства</t>
    </r>
  </si>
  <si>
    <t xml:space="preserve"> 54</t>
  </si>
  <si>
    <r>
      <rPr>
        <b/>
        <sz val="8"/>
        <color rgb="FF000000"/>
        <rFont val="DejaVu Serif"/>
      </rPr>
      <t>Узоқ муддатли мажбуриятлар, жами (сатр.500+520+530+540+550+560+570+580+590)</t>
    </r>
  </si>
  <si>
    <t>490</t>
  </si>
  <si>
    <r>
      <rPr>
        <b/>
        <sz val="8"/>
        <color rgb="FF000000"/>
        <rFont val="DejaVu Serif"/>
      </rPr>
      <t>Долгосрочные обязательства, всего (стр.500+520+530+540+550+560+570+580+590)</t>
    </r>
  </si>
  <si>
    <t xml:space="preserve"> 55</t>
  </si>
  <si>
    <t>491</t>
  </si>
  <si>
    <t xml:space="preserve"> 56</t>
  </si>
  <si>
    <r>
      <rPr>
        <sz val="8"/>
        <color rgb="FF000000"/>
        <rFont val="DejaVu Serif"/>
      </rPr>
      <t>Мол етказиб берувчилар ва пудратчиларга узоқ муддатли қарз (7000)</t>
    </r>
  </si>
  <si>
    <t>500</t>
  </si>
  <si>
    <r>
      <rPr>
        <sz val="8"/>
        <color rgb="FF000000"/>
        <rFont val="DejaVu Serif"/>
      </rPr>
      <t>Долгосрочная задолженость поставщикам и подрядчикам (7000)</t>
    </r>
  </si>
  <si>
    <t xml:space="preserve"> 57</t>
  </si>
  <si>
    <r>
      <rPr>
        <sz val="8"/>
        <color rgb="FF000000"/>
        <rFont val="DejaVu Serif"/>
      </rPr>
      <t>Ажратилган бўлинмаларга узоқ муддатли қарз (7110)</t>
    </r>
  </si>
  <si>
    <t>510</t>
  </si>
  <si>
    <r>
      <rPr>
        <sz val="8"/>
        <color rgb="FF000000"/>
        <rFont val="DejaVu Serif"/>
      </rPr>
      <t>Долгосрочная задолженность обособленным подразделениям (7110)</t>
    </r>
  </si>
  <si>
    <t xml:space="preserve"> 58</t>
  </si>
  <si>
    <r>
      <rPr>
        <sz val="8"/>
        <color rgb="FF000000"/>
        <rFont val="DejaVu Serif"/>
      </rPr>
      <t>Шўъба ва қарам хўжалик жамиятларга узоқ муддатли қарз (7120)</t>
    </r>
  </si>
  <si>
    <t>520</t>
  </si>
  <si>
    <r>
      <rPr>
        <sz val="8"/>
        <color rgb="FF000000"/>
        <rFont val="DejaVu Serif"/>
      </rPr>
      <t>Долгосрочная задолженность дочерним и зависимым хозяйственным обществам (7120)</t>
    </r>
  </si>
  <si>
    <t xml:space="preserve"> 59</t>
  </si>
  <si>
    <r>
      <rPr>
        <sz val="8"/>
        <color rgb="FF000000"/>
        <rFont val="DejaVu Serif"/>
      </rPr>
      <t>Узоқ муддатли кечиктирилган даромадлар (7210, 7220, 7230)</t>
    </r>
  </si>
  <si>
    <t>530</t>
  </si>
  <si>
    <r>
      <rPr>
        <sz val="8"/>
        <color rgb="FF000000"/>
        <rFont val="DejaVu Serif"/>
      </rPr>
      <t>Долгосрочные отсроченные доходы (7210, 7220, 7230)</t>
    </r>
  </si>
  <si>
    <t xml:space="preserve"> 60</t>
  </si>
  <si>
    <r>
      <rPr>
        <sz val="8"/>
        <color rgb="FF000000"/>
        <rFont val="DejaVu Serif"/>
      </rPr>
      <t>Солиқ ва мажбурий тўловлар бўйича узоқ муддатли кечиктирилган мажбуриятлар (7240)</t>
    </r>
  </si>
  <si>
    <t>540</t>
  </si>
  <si>
    <r>
      <rPr>
        <sz val="8"/>
        <color rgb="FF000000"/>
        <rFont val="DejaVu Serif"/>
      </rPr>
      <t>Долгосрочные отсроченные обязательства по налогам и обязательным платежам (7240)</t>
    </r>
  </si>
  <si>
    <t xml:space="preserve"> 61</t>
  </si>
  <si>
    <r>
      <rPr>
        <sz val="8"/>
        <color rgb="FF000000"/>
        <rFont val="DejaVu Serif"/>
      </rPr>
      <t>Бошқа узоқ муддатли кечиктирилган мажбуриятлар (7250, 7290)</t>
    </r>
  </si>
  <si>
    <t>550</t>
  </si>
  <si>
    <r>
      <rPr>
        <sz val="8"/>
        <color rgb="FF000000"/>
        <rFont val="DejaVu Serif"/>
      </rPr>
      <t>Прочие долгосрочные отсроченные обязательства (7250, 7290)</t>
    </r>
  </si>
  <si>
    <t xml:space="preserve"> 62</t>
  </si>
  <si>
    <r>
      <rPr>
        <sz val="8"/>
        <color rgb="FF000000"/>
        <rFont val="DejaVu Serif"/>
      </rPr>
      <t>Харидорлар ва буюртмачилардан олинган бўнаклар (7300)</t>
    </r>
  </si>
  <si>
    <t>560</t>
  </si>
  <si>
    <r>
      <rPr>
        <sz val="8"/>
        <color rgb="FF000000"/>
        <rFont val="DejaVu Serif"/>
      </rPr>
      <t>Авансы, полученные от покупателей и заказчиков (7300)</t>
    </r>
  </si>
  <si>
    <t xml:space="preserve"> 63</t>
  </si>
  <si>
    <r>
      <rPr>
        <sz val="8"/>
        <color rgb="FF000000"/>
        <rFont val="DejaVu Serif"/>
      </rPr>
      <t>Узоқ муддатли банк кредитлари (7810)</t>
    </r>
  </si>
  <si>
    <t>570</t>
  </si>
  <si>
    <r>
      <rPr>
        <sz val="8"/>
        <color rgb="FF000000"/>
        <rFont val="DejaVu Serif"/>
      </rPr>
      <t>Долгосрочные банковские кредиты (7810)</t>
    </r>
  </si>
  <si>
    <t xml:space="preserve"> 64</t>
  </si>
  <si>
    <r>
      <rPr>
        <sz val="8"/>
        <color rgb="FF000000"/>
        <rFont val="DejaVu Serif"/>
      </rPr>
      <t>Узоқ муддатли қарзлар (7820, 7830, 7840)</t>
    </r>
  </si>
  <si>
    <t>580</t>
  </si>
  <si>
    <r>
      <rPr>
        <sz val="8"/>
        <color rgb="FF000000"/>
        <rFont val="DejaVu Serif"/>
      </rPr>
      <t>Долгосрочные займы (7820, 7830, 7840)</t>
    </r>
  </si>
  <si>
    <t xml:space="preserve"> 65</t>
  </si>
  <si>
    <r>
      <rPr>
        <sz val="8"/>
        <color rgb="FF000000"/>
        <rFont val="DejaVu Serif"/>
      </rPr>
      <t>Бошқа узоқ муддатли кредиторлик қарзлар (7900)</t>
    </r>
  </si>
  <si>
    <t>590</t>
  </si>
  <si>
    <r>
      <rPr>
        <sz val="8"/>
        <color rgb="FF000000"/>
        <rFont val="DejaVu Serif"/>
      </rPr>
      <t>Прочие долгосрочные кредиторские задолженности (7900)</t>
    </r>
  </si>
  <si>
    <t xml:space="preserve"> 66</t>
  </si>
  <si>
    <t>600</t>
  </si>
  <si>
    <t xml:space="preserve"> 67</t>
  </si>
  <si>
    <t>601</t>
  </si>
  <si>
    <t xml:space="preserve"> 68</t>
  </si>
  <si>
    <t>602</t>
  </si>
  <si>
    <t xml:space="preserve"> 69</t>
  </si>
  <si>
    <r>
      <rPr>
        <sz val="8"/>
        <color rgb="FF000000"/>
        <rFont val="DejaVu Serif"/>
      </rPr>
      <t>Мол етказиб берувчилар ва пудратчиларга қарз (6000)</t>
    </r>
  </si>
  <si>
    <t>610</t>
  </si>
  <si>
    <r>
      <rPr>
        <sz val="8"/>
        <color rgb="FF000000"/>
        <rFont val="DejaVu Serif"/>
      </rPr>
      <t>Задолженность поставщикам и подрядчикам (6000)</t>
    </r>
  </si>
  <si>
    <t xml:space="preserve"> 70</t>
  </si>
  <si>
    <r>
      <rPr>
        <sz val="8"/>
        <color rgb="FF000000"/>
        <rFont val="DejaVu Serif"/>
      </rPr>
      <t>Ажратилган бўлинмаларга қарз (6110)</t>
    </r>
  </si>
  <si>
    <t>620</t>
  </si>
  <si>
    <r>
      <rPr>
        <sz val="8"/>
        <color rgb="FF000000"/>
        <rFont val="DejaVu Serif"/>
      </rPr>
      <t xml:space="preserve">Задолженность обособленным подразделениям (6110) </t>
    </r>
  </si>
  <si>
    <t xml:space="preserve"> 71</t>
  </si>
  <si>
    <r>
      <rPr>
        <sz val="8"/>
        <color rgb="FF000000"/>
        <rFont val="DejaVu Serif"/>
      </rPr>
      <t>Шўъба ва қарам хўжалик жамиятларга қарз (6120)</t>
    </r>
  </si>
  <si>
    <t>630</t>
  </si>
  <si>
    <r>
      <rPr>
        <sz val="8"/>
        <color rgb="FF000000"/>
        <rFont val="DejaVu Serif"/>
      </rPr>
      <t>Задолженность дочерним и зависимым хозяйственным обществам (6120)</t>
    </r>
  </si>
  <si>
    <t xml:space="preserve"> 72</t>
  </si>
  <si>
    <r>
      <rPr>
        <sz val="8"/>
        <color rgb="FF000000"/>
        <rFont val="DejaVu Serif"/>
      </rPr>
      <t>Кечиктирилган даромадлар (6210, 6220, 6230)</t>
    </r>
  </si>
  <si>
    <t>640</t>
  </si>
  <si>
    <r>
      <rPr>
        <sz val="8"/>
        <color rgb="FF000000"/>
        <rFont val="DejaVu Serif"/>
      </rPr>
      <t>Отсроченные доходы (6210, 6220, 6230)</t>
    </r>
  </si>
  <si>
    <t xml:space="preserve"> 73</t>
  </si>
  <si>
    <r>
      <rPr>
        <sz val="8"/>
        <color rgb="FF000000"/>
        <rFont val="DejaVu Serif"/>
      </rPr>
      <t>Солиқ ва мажбурий тўловлар бўйича кечиктирилган мажбуриятлар (6240)</t>
    </r>
  </si>
  <si>
    <t>650</t>
  </si>
  <si>
    <t xml:space="preserve"> 74</t>
  </si>
  <si>
    <r>
      <rPr>
        <sz val="8"/>
        <color rgb="FF000000"/>
        <rFont val="DejaVu Serif"/>
      </rPr>
      <t>Бошқа кечиктирилган мажбуриятлар (6250, 6290)</t>
    </r>
  </si>
  <si>
    <t>660</t>
  </si>
  <si>
    <t xml:space="preserve"> 75</t>
  </si>
  <si>
    <r>
      <rPr>
        <sz val="8"/>
        <color rgb="FF000000"/>
        <rFont val="DejaVu Serif"/>
      </rPr>
      <t>Олинган бўнаклар (6300)</t>
    </r>
  </si>
  <si>
    <t>670</t>
  </si>
  <si>
    <r>
      <rPr>
        <sz val="8"/>
        <color rgb="FF000000"/>
        <rFont val="DejaVu Serif"/>
      </rPr>
      <t>Полученные авансы (6300)</t>
    </r>
  </si>
  <si>
    <t xml:space="preserve"> 76</t>
  </si>
  <si>
    <r>
      <rPr>
        <sz val="8"/>
        <color rgb="FF000000"/>
        <rFont val="DejaVu Serif"/>
      </rPr>
      <t>Бюджетга тўловлар бўйича қарз (6400)</t>
    </r>
  </si>
  <si>
    <t>680</t>
  </si>
  <si>
    <r>
      <rPr>
        <sz val="8"/>
        <color rgb="FF000000"/>
        <rFont val="DejaVu Serif"/>
      </rPr>
      <t>Задолженность по платежам в бюджет (6400)</t>
    </r>
  </si>
  <si>
    <t xml:space="preserve"> 77</t>
  </si>
  <si>
    <r>
      <rPr>
        <sz val="8"/>
        <color rgb="FF000000"/>
        <rFont val="DejaVu Serif"/>
      </rPr>
      <t>Суғурталар бўйича қарз (6510)</t>
    </r>
  </si>
  <si>
    <t>690</t>
  </si>
  <si>
    <r>
      <rPr>
        <sz val="8"/>
        <color rgb="FF000000"/>
        <rFont val="DejaVu Serif"/>
      </rPr>
      <t>Задолженность по страхованию (6510)</t>
    </r>
  </si>
  <si>
    <t xml:space="preserve"> 78</t>
  </si>
  <si>
    <r>
      <rPr>
        <sz val="8"/>
        <color rgb="FF000000"/>
        <rFont val="DejaVu Serif"/>
      </rPr>
      <t>Мақсадли давлат жамғармаларига тўловлар бўйича қарз (6520)</t>
    </r>
  </si>
  <si>
    <t>700</t>
  </si>
  <si>
    <r>
      <rPr>
        <sz val="8"/>
        <color rgb="FF000000"/>
        <rFont val="DejaVu Serif"/>
      </rPr>
      <t>Задолженность по платежам в государственные целевые фонды (6520)</t>
    </r>
  </si>
  <si>
    <t xml:space="preserve"> 79</t>
  </si>
  <si>
    <r>
      <rPr>
        <sz val="8"/>
        <color rgb="FF000000"/>
        <rFont val="DejaVu Serif"/>
      </rPr>
      <t>Таъсисчиларга бўлган қарзлар (6600)</t>
    </r>
  </si>
  <si>
    <t>710</t>
  </si>
  <si>
    <r>
      <rPr>
        <sz val="8"/>
        <color rgb="FF000000"/>
        <rFont val="DejaVu Serif"/>
      </rPr>
      <t>Задолженность учредителям (6600)</t>
    </r>
  </si>
  <si>
    <t xml:space="preserve"> 80</t>
  </si>
  <si>
    <t>720</t>
  </si>
  <si>
    <t xml:space="preserve"> 81</t>
  </si>
  <si>
    <r>
      <rPr>
        <sz val="8"/>
        <color rgb="FF000000"/>
        <rFont val="DejaVu Serif"/>
      </rPr>
      <t>Қисқа муддатли банк кредитлари (6810)</t>
    </r>
  </si>
  <si>
    <t>730</t>
  </si>
  <si>
    <r>
      <rPr>
        <sz val="8"/>
        <color rgb="FF000000"/>
        <rFont val="DejaVu Serif"/>
      </rPr>
      <t>Краткосрочные банковские кредиты (6810)</t>
    </r>
  </si>
  <si>
    <t xml:space="preserve"> 82</t>
  </si>
  <si>
    <r>
      <rPr>
        <sz val="8"/>
        <color rgb="FF000000"/>
        <rFont val="DejaVu Serif"/>
      </rPr>
      <t>Қисқа муддатли қарзлар (6820, 6830, 6840)</t>
    </r>
  </si>
  <si>
    <t>740</t>
  </si>
  <si>
    <r>
      <rPr>
        <sz val="8"/>
        <color rgb="FF000000"/>
        <rFont val="DejaVu Serif"/>
      </rPr>
      <t>Краткосрочные займы (6820, 6830, 6840)</t>
    </r>
  </si>
  <si>
    <t xml:space="preserve"> 83</t>
  </si>
  <si>
    <r>
      <rPr>
        <sz val="8"/>
        <color rgb="FF000000"/>
        <rFont val="DejaVu Serif"/>
      </rPr>
      <t>Узоқ муддатли мажбуриятларнинг жорий қисми (6950)</t>
    </r>
  </si>
  <si>
    <t>750</t>
  </si>
  <si>
    <r>
      <rPr>
        <sz val="8"/>
        <color rgb="FF000000"/>
        <rFont val="DejaVu Serif"/>
      </rPr>
      <t>Текущая часть долгосрочных обязательств (6950)</t>
    </r>
  </si>
  <si>
    <t xml:space="preserve"> 84</t>
  </si>
  <si>
    <r>
      <rPr>
        <sz val="8"/>
        <color rgb="FF000000"/>
        <rFont val="DejaVu Serif"/>
      </rPr>
      <t>Бошқа кредиторлик қарзлар (6950 дан ташқари 6900)</t>
    </r>
  </si>
  <si>
    <t>760</t>
  </si>
  <si>
    <r>
      <rPr>
        <sz val="8"/>
        <color rgb="FF000000"/>
        <rFont val="DejaVu Serif"/>
      </rPr>
      <t>Прочие кредиторские задолженности (6900 кроме 6950)</t>
    </r>
  </si>
  <si>
    <t xml:space="preserve"> 85</t>
  </si>
  <si>
    <r>
      <rPr>
        <b/>
        <sz val="8"/>
        <color rgb="FF000000"/>
        <rFont val="DejaVu Serif"/>
      </rPr>
      <t>II бўлим бўйича жами (сатр.490+600)</t>
    </r>
  </si>
  <si>
    <t>770</t>
  </si>
  <si>
    <r>
      <rPr>
        <b/>
        <sz val="8"/>
        <color rgb="FF000000"/>
        <rFont val="DejaVu Serif"/>
      </rPr>
      <t>Итого по разделу II (стр.490+600)</t>
    </r>
  </si>
  <si>
    <t xml:space="preserve"> 86</t>
  </si>
  <si>
    <r>
      <rPr>
        <b/>
        <sz val="8"/>
        <color rgb="FF000000"/>
        <rFont val="DejaVu Serif"/>
      </rPr>
      <t>Баланс пассиви бўйича жами (сатр.480+770)</t>
    </r>
  </si>
  <si>
    <t>780</t>
  </si>
  <si>
    <r>
      <rPr>
        <b/>
        <sz val="8"/>
        <color rgb="FF000000"/>
        <rFont val="DejaVu Serif"/>
      </rPr>
      <t>Всего по пассиву баланса (стр.480+770)</t>
    </r>
  </si>
  <si>
    <t>Задолженность по оплате труда (6700)</t>
  </si>
  <si>
    <r>
      <t>Жорий мажбуриятлар, жами (сатр.610+630+640+650+660+670+680+690+700+7</t>
    </r>
    <r>
      <rPr>
        <b/>
        <sz val="8"/>
        <color rgb="FF000000"/>
        <rFont val="DejaVu Serif"/>
        <family val="2"/>
      </rPr>
      <t>10</t>
    </r>
    <r>
      <rPr>
        <b/>
        <sz val="8"/>
        <color rgb="FF000000"/>
        <rFont val="DejaVu Serif"/>
      </rPr>
      <t>+720+730+740+750+760)</t>
    </r>
  </si>
  <si>
    <t>Текущие обязательства, всего (стр.610+630+640+650+660+670+680+690+700+710+720+730+740+750+760)</t>
  </si>
  <si>
    <t>Проверка</t>
  </si>
  <si>
    <t>Контроль</t>
  </si>
  <si>
    <t>Ўлчов бирлиги, минг.сўм</t>
  </si>
  <si>
    <t>Единица измерения, тыс.сум</t>
  </si>
  <si>
    <t>МФО:</t>
  </si>
  <si>
    <t>Дата получения данных:</t>
  </si>
  <si>
    <t>Банк ходими ФИШ:</t>
  </si>
  <si>
    <t>Қарам хўжалик жамиятларига инвестициялар (0630)</t>
  </si>
  <si>
    <t>"Меҳнатга ҳақ тўлаш бўйича қарз (6700)</t>
  </si>
  <si>
    <t xml:space="preserve">Наименование юр.лица: </t>
  </si>
  <si>
    <t>I. Узоқ муддатли активлар</t>
  </si>
  <si>
    <t>Ҳисобот юборилган вақти:</t>
  </si>
  <si>
    <t>Целевые поступления (8800)</t>
  </si>
  <si>
    <t>Расходы будущих периодов (3100)</t>
  </si>
  <si>
    <t>Прочие отсроченные обязательства (6250, 6290)</t>
  </si>
  <si>
    <t>Отсроченные обязательства по налогам и обязательным платежам (6240)</t>
  </si>
  <si>
    <t>Қимматли қоғозлар (0610)</t>
  </si>
  <si>
    <t>Қолдиқ (баланс) қиймати (сатр. 020 - 021)</t>
  </si>
  <si>
    <t>Қолдиқ (баланс) қиймати (сатр. 010 - 011)</t>
  </si>
  <si>
    <t>Шундан: муддати ўтган</t>
  </si>
  <si>
    <t>Из нее: просроченная</t>
  </si>
  <si>
    <t>Қисқа муддатли инвестициялар (5800)</t>
  </si>
  <si>
    <t>Шу жумладан: узоқ муддатли кредиторлик қарзлари (сатр.500+520+540+560+590)</t>
  </si>
  <si>
    <t>В том числе: долгосрочная кредиторская задолженность (стр.500+520+540+560+590)</t>
  </si>
  <si>
    <t>Шу жумладан: жорий кредиторлик қарзлари (сатр.610+630+650+670+680+690+700+710+720+760)</t>
  </si>
  <si>
    <r>
      <t xml:space="preserve">В том числе: текущая кредиторская задолженность (стр. </t>
    </r>
    <r>
      <rPr>
        <sz val="8"/>
        <color rgb="FF000000"/>
        <rFont val="DejaVu Serif"/>
        <family val="2"/>
      </rPr>
      <t>610+630+650+670+680+690+700+710+720+760)</t>
    </r>
  </si>
  <si>
    <t>Шундан: муддати ўтган жорий кредиторлик қарзлари</t>
  </si>
  <si>
    <t>Из нее: просроченная текущая кредиторская задолженность</t>
  </si>
  <si>
    <t>Ushbu ma'lumot Davlat soliq qo'mitasi bazasidan "EHLBM" davlat muassasasi orqali olingan</t>
  </si>
  <si>
    <t>Бухгалтерский баланс - форма № 1 Док № 2025-174863</t>
  </si>
  <si>
    <t>ИНН: 309633598</t>
  </si>
  <si>
    <t>За период: 2024-год 4-квартал</t>
  </si>
  <si>
    <t>10-09-2025 00:00</t>
  </si>
  <si>
    <t>Кувончбек Мухаммадов Суннат угли</t>
  </si>
  <si>
    <t>11751</t>
  </si>
  <si>
    <t>22-09-2025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</si>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</sst>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>
    <font>
      <sz val="11"/>
      <color theme="1"/>
      <name val="Calibri"/>
      <family val="2"/>
      <scheme val="minor"/>
    </font>
    <font>
      <b/>
      <sz val="12"/>
      <color rgb="FF000000"/>
      <name val="SansSerif"/>
      <family val="2"/>
    </font>
    <font>
      <sz val="9"/>
      <color rgb="FF000000"/>
      <name val="DejaVu Serif"/>
      <family val="2"/>
    </font>
    <font>
      <sz val="9"/>
      <color rgb="FFFF0000"/>
      <name val="DejaVu Serif"/>
      <family val="2"/>
    </font>
    <font>
      <b/>
      <sz val="9"/>
      <color rgb="FF000000"/>
      <name val="DejaVu Serif"/>
      <family val="2"/>
    </font>
    <font>
      <b/>
      <sz val="10"/>
      <color rgb="FF000000"/>
      <name val="SansSerif"/>
      <family val="2"/>
    </font>
    <font>
      <b/>
      <sz val="8"/>
      <color rgb="FF000000"/>
      <name val="DejaVu Serif"/>
      <family val="2"/>
    </font>
    <font>
      <sz val="8"/>
      <color rgb="FF000000"/>
      <name val="DejaVu Serif"/>
      <family val="2"/>
    </font>
    <font>
      <b/>
      <sz val="9"/>
      <color rgb="FF000000"/>
      <name val="DejaVu Serif"/>
    </font>
    <font>
      <sz val="9"/>
      <color rgb="FF000000"/>
      <name val="DejaVu Serif"/>
    </font>
    <font>
      <b/>
      <sz val="9"/>
      <color rgb="FFFF0000"/>
      <name val="DejaVu Serif"/>
    </font>
    <font>
      <b/>
      <sz val="8"/>
      <color rgb="FF000000"/>
      <name val="DejaVu Serif"/>
    </font>
    <font>
      <sz val="8"/>
      <color rgb="FF000000"/>
      <name val="DejaVu Serif"/>
    </font>
    <font>
      <b/>
      <sz val="11"/>
      <color rgb="FFFF0000"/>
      <name val="Calibri"/>
      <family val="2"/>
      <charset val="204"/>
      <scheme val="minor"/>
    </font>
    <font>
      <b/>
      <sz val="9"/>
      <color rgb="FF000000"/>
      <name val="DejaVu Serif"/>
      <charset val="204"/>
    </font>
    <font>
      <b/>
      <sz val="10"/>
      <name val="Times New Roman"/>
      <family val="1"/>
      <charset val="204"/>
    </font>
    <font>
      <b/>
      <sz val="9"/>
      <name val="DejaVu Serif"/>
    </font>
    <font>
      <b/>
      <sz val="9"/>
      <name val="DejaVu Serif"/>
      <charset val="204"/>
    </font>
  </fonts>
  <fills count="4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none"/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BFDA1"/>
      </patternFill>
    </fill>
    <fill>
      <patternFill patternType="solid">
        <fgColor rgb="FFFBFDA1"/>
      </patternFill>
    </fill>
    <fill>
      <patternFill patternType="solid">
        <fgColor rgb="FFFBFDA1"/>
      </patternFill>
    </fill>
    <fill>
      <patternFill patternType="solid">
        <fgColor rgb="FFFBFDA1"/>
      </patternFill>
    </fill>
    <fill>
      <patternFill patternType="solid">
        <fgColor rgb="FFFBFDA1"/>
      </patternFill>
    </fill>
    <fill>
      <patternFill patternType="solid">
        <fgColor rgb="FFFBFDA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EFEFC"/>
      </patternFill>
    </fill>
    <fill>
      <patternFill patternType="solid">
        <fgColor rgb="FFCEFEF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8B8B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B8B8B8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B8B8B8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B8B8B8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8" borderId="0" xfId="0" applyFill="1" applyAlignment="1" applyProtection="1">
      <alignment wrapText="1"/>
      <protection locked="0"/>
    </xf>
    <xf numFmtId="0" fontId="5" fillId="9" borderId="2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3" borderId="3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7" fillId="29" borderId="3" xfId="0" applyFont="1" applyFill="1" applyBorder="1" applyAlignment="1">
      <alignment horizontal="left" vertical="center" wrapText="1"/>
    </xf>
    <xf numFmtId="0" fontId="7" fillId="33" borderId="2" xfId="0" applyFont="1" applyFill="1" applyBorder="1" applyAlignment="1">
      <alignment horizontal="left" vertical="center" wrapText="1"/>
    </xf>
    <xf numFmtId="0" fontId="6" fillId="34" borderId="3" xfId="0" applyFont="1" applyFill="1" applyBorder="1" applyAlignment="1">
      <alignment horizontal="center" vertical="center" wrapText="1"/>
    </xf>
    <xf numFmtId="0" fontId="6" fillId="37" borderId="2" xfId="0" applyFont="1" applyFill="1" applyBorder="1" applyAlignment="1">
      <alignment horizontal="center" vertical="center" wrapText="1"/>
    </xf>
    <xf numFmtId="0" fontId="6" fillId="39" borderId="3" xfId="0" applyFont="1" applyFill="1" applyBorder="1" applyAlignment="1">
      <alignment horizontal="left" vertical="center" wrapText="1"/>
    </xf>
    <xf numFmtId="0" fontId="6" fillId="42" borderId="2" xfId="0" applyFont="1" applyFill="1" applyBorder="1" applyAlignment="1">
      <alignment horizontal="left" vertical="center" wrapText="1"/>
    </xf>
    <xf numFmtId="0" fontId="12" fillId="33" borderId="2" xfId="0" applyFont="1" applyFill="1" applyBorder="1" applyAlignment="1">
      <alignment horizontal="left" vertical="center" wrapText="1"/>
    </xf>
    <xf numFmtId="0" fontId="0" fillId="45" borderId="0" xfId="0" applyFill="1"/>
    <xf numFmtId="0" fontId="4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23" borderId="3" xfId="0" applyFont="1" applyFill="1" applyBorder="1" applyAlignment="1">
      <alignment horizontal="left" vertical="center" wrapText="1"/>
    </xf>
    <xf numFmtId="0" fontId="11" fillId="27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3" fontId="14" fillId="0" borderId="5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right" vertical="center" wrapText="1"/>
    </xf>
    <xf numFmtId="0" fontId="0" fillId="8" borderId="1" xfId="0" applyFill="1" applyBorder="1" applyAlignment="1" applyProtection="1">
      <alignment wrapText="1"/>
      <protection locked="0"/>
    </xf>
    <xf numFmtId="0" fontId="0" fillId="0" borderId="1" xfId="0" applyBorder="1"/>
    <xf numFmtId="0" fontId="12" fillId="46" borderId="3" xfId="0" applyFont="1" applyFill="1" applyBorder="1" applyAlignment="1">
      <alignment horizontal="left" vertical="center" wrapText="1"/>
    </xf>
    <xf numFmtId="0" fontId="12" fillId="46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15" xfId="0" applyFont="1" applyFill="1" applyBorder="1" applyAlignment="1">
      <alignment vertical="center" wrapText="1"/>
    </xf>
    <xf numFmtId="3" fontId="14" fillId="0" borderId="16" xfId="0" applyNumberFormat="1" applyFont="1" applyBorder="1" applyAlignment="1">
      <alignment horizontal="center" vertical="center" wrapText="1"/>
    </xf>
    <xf numFmtId="0" fontId="0" fillId="0" borderId="16" xfId="0" applyBorder="1"/>
    <xf numFmtId="0" fontId="15" fillId="0" borderId="16" xfId="0" applyFont="1" applyBorder="1" applyAlignment="1">
      <alignment horizontal="left" vertical="center" wrapText="1"/>
    </xf>
    <xf numFmtId="164" fontId="15" fillId="0" borderId="16" xfId="0" applyNumberFormat="1" applyFont="1" applyBorder="1" applyAlignment="1">
      <alignment horizontal="right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6" fillId="42" borderId="25" xfId="0" applyFont="1" applyFill="1" applyBorder="1" applyAlignment="1">
      <alignment horizontal="left" vertical="center" wrapText="1"/>
    </xf>
    <xf numFmtId="0" fontId="13" fillId="0" borderId="0" xfId="0" applyFont="1"/>
    <xf numFmtId="0" fontId="14" fillId="3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1" fillId="17" borderId="3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vertical="center" wrapText="1"/>
    </xf>
    <xf numFmtId="0" fontId="12" fillId="29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2" fillId="32" borderId="22" xfId="0" applyNumberFormat="1" applyFont="1" applyFill="1" applyBorder="1" applyAlignment="1">
      <alignment horizontal="center" vertical="center" wrapText="1"/>
    </xf>
    <xf numFmtId="0" fontId="2" fillId="28" borderId="9" xfId="0" applyFont="1" applyFill="1" applyBorder="1" applyAlignment="1">
      <alignment horizontal="center" vertical="center" wrapText="1"/>
    </xf>
    <xf numFmtId="0" fontId="2" fillId="30" borderId="4" xfId="0" applyFont="1" applyFill="1" applyBorder="1" applyAlignment="1">
      <alignment horizontal="center" vertical="center" wrapText="1"/>
    </xf>
    <xf numFmtId="3" fontId="2" fillId="31" borderId="4" xfId="0" applyNumberFormat="1" applyFont="1" applyFill="1" applyBorder="1" applyAlignment="1">
      <alignment horizontal="center" vertical="center" wrapText="1"/>
    </xf>
    <xf numFmtId="3" fontId="4" fillId="25" borderId="5" xfId="0" applyNumberFormat="1" applyFont="1" applyFill="1" applyBorder="1" applyAlignment="1">
      <alignment horizontal="center" vertical="center" wrapText="1"/>
    </xf>
    <xf numFmtId="3" fontId="4" fillId="25" borderId="16" xfId="0" applyNumberFormat="1" applyFont="1" applyFill="1" applyBorder="1" applyAlignment="1">
      <alignment horizontal="center" vertical="center" wrapText="1"/>
    </xf>
    <xf numFmtId="3" fontId="4" fillId="41" borderId="5" xfId="0" applyNumberFormat="1" applyFont="1" applyFill="1" applyBorder="1" applyAlignment="1">
      <alignment horizontal="center" vertical="center" wrapText="1"/>
    </xf>
    <xf numFmtId="3" fontId="4" fillId="41" borderId="16" xfId="0" applyNumberFormat="1" applyFont="1" applyFill="1" applyBorder="1" applyAlignment="1">
      <alignment horizontal="center" vertical="center" wrapText="1"/>
    </xf>
    <xf numFmtId="3" fontId="2" fillId="31" borderId="5" xfId="0" applyNumberFormat="1" applyFont="1" applyFill="1" applyBorder="1" applyAlignment="1">
      <alignment horizontal="center" vertical="center" wrapText="1"/>
    </xf>
    <xf numFmtId="3" fontId="2" fillId="31" borderId="16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" fillId="38" borderId="9" xfId="0" applyFont="1" applyFill="1" applyBorder="1" applyAlignment="1">
      <alignment horizontal="center" vertical="center" wrapText="1"/>
    </xf>
    <xf numFmtId="0" fontId="2" fillId="38" borderId="24" xfId="0" applyFont="1" applyFill="1" applyBorder="1" applyAlignment="1">
      <alignment horizontal="center" vertical="center" wrapText="1"/>
    </xf>
    <xf numFmtId="0" fontId="2" fillId="40" borderId="4" xfId="0" applyFont="1" applyFill="1" applyBorder="1" applyAlignment="1">
      <alignment horizontal="center" vertical="center" wrapText="1"/>
    </xf>
    <xf numFmtId="0" fontId="2" fillId="40" borderId="26" xfId="0" applyFont="1" applyFill="1" applyBorder="1" applyAlignment="1">
      <alignment horizontal="center" vertical="center" wrapText="1"/>
    </xf>
    <xf numFmtId="3" fontId="4" fillId="41" borderId="4" xfId="0" applyNumberFormat="1" applyFont="1" applyFill="1" applyBorder="1" applyAlignment="1">
      <alignment horizontal="center" vertical="center" wrapText="1"/>
    </xf>
    <xf numFmtId="3" fontId="4" fillId="41" borderId="26" xfId="0" applyNumberFormat="1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 wrapText="1"/>
    </xf>
    <xf numFmtId="3" fontId="4" fillId="25" borderId="4" xfId="0" applyNumberFormat="1" applyFont="1" applyFill="1" applyBorder="1" applyAlignment="1">
      <alignment horizontal="center" vertical="center" wrapText="1"/>
    </xf>
    <xf numFmtId="3" fontId="4" fillId="26" borderId="22" xfId="0" applyNumberFormat="1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3" fontId="4" fillId="35" borderId="4" xfId="0" applyNumberFormat="1" applyFont="1" applyFill="1" applyBorder="1" applyAlignment="1">
      <alignment horizontal="center" vertical="center" wrapText="1"/>
    </xf>
    <xf numFmtId="3" fontId="4" fillId="36" borderId="22" xfId="0" applyNumberFormat="1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3" fontId="4" fillId="43" borderId="12" xfId="0" applyNumberFormat="1" applyFont="1" applyFill="1" applyBorder="1" applyAlignment="1">
      <alignment horizontal="center" vertical="center" wrapText="1"/>
    </xf>
    <xf numFmtId="3" fontId="4" fillId="43" borderId="2" xfId="0" applyNumberFormat="1" applyFont="1" applyFill="1" applyBorder="1" applyAlignment="1">
      <alignment horizontal="center" vertical="center" wrapText="1"/>
    </xf>
    <xf numFmtId="3" fontId="4" fillId="44" borderId="21" xfId="0" applyNumberFormat="1" applyFont="1" applyFill="1" applyBorder="1" applyAlignment="1">
      <alignment horizontal="center" vertical="center" wrapText="1"/>
    </xf>
    <xf numFmtId="3" fontId="4" fillId="44" borderId="2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center" vertical="center" wrapText="1"/>
    </xf>
    <xf numFmtId="0" fontId="4" fillId="20" borderId="2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3" fontId="4" fillId="35" borderId="5" xfId="0" applyNumberFormat="1" applyFont="1" applyFill="1" applyBorder="1" applyAlignment="1">
      <alignment horizontal="center" vertical="center" wrapText="1"/>
    </xf>
    <xf numFmtId="3" fontId="4" fillId="35" borderId="16" xfId="0" applyNumberFormat="1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4" fillId="15" borderId="20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3" fontId="4" fillId="43" borderId="5" xfId="0" applyNumberFormat="1" applyFont="1" applyFill="1" applyBorder="1" applyAlignment="1">
      <alignment horizontal="center" vertical="center" wrapText="1"/>
    </xf>
    <xf numFmtId="3" fontId="4" fillId="43" borderId="16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0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16"/>
  <sheetViews>
    <sheetView tabSelected="1" view="pageBreakPreview" zoomScaleNormal="100" zoomScaleSheetLayoutView="100" workbookViewId="0">
      <selection activeCell="I11" sqref="I11"/>
    </sheetView>
  </sheetViews>
  <sheetFormatPr defaultRowHeight="15"/>
  <cols>
    <col min="1" max="1" width="5.42578125" customWidth="1"/>
    <col min="2" max="2" width="39.28515625" customWidth="1"/>
    <col min="3" max="3" width="11.140625" customWidth="1"/>
    <col min="4" max="5" width="29" customWidth="1"/>
    <col min="6" max="7" width="4.28515625" customWidth="1"/>
    <col min="8" max="8" width="8.85546875" customWidth="1"/>
    <col min="14" max="14" width="12.5703125" customWidth="1"/>
  </cols>
  <sheetData>
    <row r="1" spans="1:10" ht="29.1" customHeight="1">
      <c r="A1" s="50" t="s">
        <v>378</v>
      </c>
      <c r="B1" s="50"/>
      <c r="C1" s="50"/>
      <c r="D1" s="50"/>
      <c r="E1" s="50"/>
      <c r="F1" s="26"/>
      <c r="G1" s="26"/>
      <c r="H1" s="26"/>
    </row>
    <row r="2" spans="1:10" ht="18.75" customHeight="1">
      <c r="A2" s="47" t="s">
        <v>358</v>
      </c>
      <c r="B2" s="47"/>
      <c r="C2" s="47"/>
      <c r="D2" s="47"/>
      <c r="E2" s="40" t="s">
        <v>379</v>
      </c>
      <c r="F2" s="27"/>
      <c r="G2" s="27"/>
      <c r="H2" s="27"/>
    </row>
    <row r="3" spans="1:10" ht="18.75" customHeight="1">
      <c r="A3" s="47" t="s">
        <v>380</v>
      </c>
      <c r="B3" s="47"/>
      <c r="C3" s="29"/>
      <c r="D3" s="29"/>
      <c r="E3" s="29"/>
      <c r="F3" s="29"/>
      <c r="G3" s="29"/>
      <c r="H3" s="27"/>
    </row>
    <row r="4" spans="1:10" ht="18.75" customHeight="1">
      <c r="A4" s="48" t="s">
        <v>351</v>
      </c>
      <c r="B4" s="48"/>
      <c r="C4" s="30"/>
      <c r="D4" s="41" t="s">
        <v>360</v>
      </c>
      <c r="E4" s="43" t="s">
        <v>381</v>
      </c>
      <c r="F4" s="30"/>
      <c r="G4" s="30"/>
      <c r="H4" s="28"/>
    </row>
    <row r="5" spans="1:10" ht="18.75" customHeight="1" thickBot="1">
      <c r="A5" s="49" t="s">
        <v>352</v>
      </c>
      <c r="B5" s="49"/>
      <c r="C5" s="31"/>
      <c r="D5" s="31"/>
      <c r="E5" s="31"/>
      <c r="F5" s="30"/>
      <c r="G5" s="30"/>
      <c r="H5" s="28"/>
    </row>
    <row r="6" spans="1:10" ht="22.5" customHeight="1" thickBot="1">
      <c r="A6" s="87" t="s">
        <v>0</v>
      </c>
      <c r="B6" s="15" t="s">
        <v>1</v>
      </c>
      <c r="C6" s="15" t="s">
        <v>2</v>
      </c>
      <c r="D6" s="15" t="s">
        <v>3</v>
      </c>
      <c r="E6" s="36" t="s">
        <v>4</v>
      </c>
      <c r="F6" s="94" t="s">
        <v>350</v>
      </c>
      <c r="G6" s="95"/>
      <c r="H6" s="1"/>
    </row>
    <row r="7" spans="1:10" ht="22.5" customHeight="1">
      <c r="A7" s="88"/>
      <c r="B7" s="2" t="s">
        <v>5</v>
      </c>
      <c r="C7" s="2" t="s">
        <v>6</v>
      </c>
      <c r="D7" s="2" t="s">
        <v>7</v>
      </c>
      <c r="E7" s="37" t="s">
        <v>8</v>
      </c>
      <c r="F7" s="94"/>
      <c r="G7" s="95"/>
      <c r="H7" s="1"/>
    </row>
    <row r="8" spans="1:10" ht="12.75" customHeight="1">
      <c r="A8" s="89" t="s">
        <v>9</v>
      </c>
      <c r="B8" s="76" t="s">
        <v>10</v>
      </c>
      <c r="C8" s="78"/>
      <c r="D8" s="103"/>
      <c r="E8" s="101"/>
      <c r="F8" s="91"/>
      <c r="G8" s="92"/>
      <c r="H8" s="1"/>
    </row>
    <row r="9" spans="1:10" ht="11.25" customHeight="1">
      <c r="A9" s="90"/>
      <c r="B9" s="77"/>
      <c r="C9" s="79"/>
      <c r="D9" s="104"/>
      <c r="E9" s="102"/>
      <c r="F9" s="91"/>
      <c r="G9" s="92"/>
      <c r="H9" s="1"/>
      <c r="J9" s="16"/>
    </row>
    <row r="10" spans="1:10" ht="23.1" customHeight="1">
      <c r="A10" s="72" t="s">
        <v>9</v>
      </c>
      <c r="B10" s="42" t="s">
        <v>359</v>
      </c>
      <c r="C10" s="73"/>
      <c r="D10" s="98"/>
      <c r="E10" s="93"/>
      <c r="F10" s="96"/>
      <c r="G10" s="97"/>
      <c r="H10" s="1"/>
    </row>
    <row r="11" spans="1:10" ht="23.1" customHeight="1">
      <c r="A11" s="72"/>
      <c r="B11" s="4" t="s">
        <v>11</v>
      </c>
      <c r="C11" s="73"/>
      <c r="D11" s="98"/>
      <c r="E11" s="93"/>
      <c r="F11" s="96"/>
      <c r="G11" s="97"/>
      <c r="H11" s="1"/>
    </row>
    <row r="12" spans="1:10" ht="23.1" customHeight="1">
      <c r="A12" s="68" t="s">
        <v>9</v>
      </c>
      <c r="B12" s="5" t="s">
        <v>12</v>
      </c>
      <c r="C12" s="69"/>
      <c r="D12" s="70"/>
      <c r="E12" s="71"/>
      <c r="F12" s="55"/>
      <c r="G12" s="56"/>
      <c r="H12" s="1"/>
    </row>
    <row r="13" spans="1:10" ht="23.1" customHeight="1">
      <c r="A13" s="68"/>
      <c r="B13" s="6" t="s">
        <v>13</v>
      </c>
      <c r="C13" s="69"/>
      <c r="D13" s="70"/>
      <c r="E13" s="71"/>
      <c r="F13" s="55"/>
      <c r="G13" s="56"/>
      <c r="H13" s="1"/>
    </row>
    <row r="14" spans="1:10" ht="23.1" customHeight="1">
      <c r="A14" s="52" t="s">
        <v>14</v>
      </c>
      <c r="B14" s="7" t="s">
        <v>15</v>
      </c>
      <c r="C14" s="53" t="s">
        <v>16</v>
      </c>
      <c r="D14" s="54">
        <v>0</v>
      </c>
      <c r="E14" s="51">
        <v>0</v>
      </c>
      <c r="F14" s="59"/>
      <c r="G14" s="60"/>
      <c r="H14" s="1"/>
    </row>
    <row r="15" spans="1:10" ht="23.1" customHeight="1">
      <c r="A15" s="52"/>
      <c r="B15" s="8" t="s">
        <v>17</v>
      </c>
      <c r="C15" s="53"/>
      <c r="D15" s="54"/>
      <c r="E15" s="51"/>
      <c r="F15" s="59"/>
      <c r="G15" s="60"/>
      <c r="H15" s="1"/>
    </row>
    <row r="16" spans="1:10" ht="23.1" customHeight="1">
      <c r="A16" s="52" t="s">
        <v>18</v>
      </c>
      <c r="B16" s="7" t="s">
        <v>19</v>
      </c>
      <c r="C16" s="53" t="s">
        <v>20</v>
      </c>
      <c r="D16" s="54">
        <v>0</v>
      </c>
      <c r="E16" s="51">
        <v>0</v>
      </c>
      <c r="F16" s="59"/>
      <c r="G16" s="60"/>
      <c r="H16" s="1"/>
    </row>
    <row r="17" spans="1:8" ht="23.1" customHeight="1">
      <c r="A17" s="52"/>
      <c r="B17" s="8" t="s">
        <v>21</v>
      </c>
      <c r="C17" s="53"/>
      <c r="D17" s="54"/>
      <c r="E17" s="51"/>
      <c r="F17" s="59"/>
      <c r="G17" s="60"/>
      <c r="H17" s="1"/>
    </row>
    <row r="18" spans="1:8" ht="23.1" customHeight="1">
      <c r="A18" s="52" t="s">
        <v>22</v>
      </c>
      <c r="B18" s="44" t="s">
        <v>367</v>
      </c>
      <c r="C18" s="53" t="s">
        <v>23</v>
      </c>
      <c r="D18" s="54" t="s">
        <v>385</v>
      </c>
      <c r="E18" s="51" t="s">
        <v>385</v>
      </c>
      <c r="F18" s="59"/>
      <c r="G18" s="60"/>
      <c r="H18" s="1"/>
    </row>
    <row r="19" spans="1:8" ht="22.5" customHeight="1">
      <c r="A19" s="52"/>
      <c r="B19" s="8" t="s">
        <v>24</v>
      </c>
      <c r="C19" s="53"/>
      <c r="D19" s="54"/>
      <c r="E19" s="51"/>
      <c r="F19" s="59"/>
      <c r="G19" s="60"/>
      <c r="H19" s="1"/>
    </row>
    <row r="20" spans="1:8" ht="12.75" customHeight="1">
      <c r="A20" s="84"/>
      <c r="B20" s="85"/>
      <c r="C20" s="85"/>
      <c r="D20" s="85"/>
      <c r="E20" s="86"/>
      <c r="F20" s="20">
        <f>D14-D16-D18</f>
        <v>0</v>
      </c>
      <c r="G20" s="32">
        <f>E14-E16-E18</f>
        <v>0</v>
      </c>
      <c r="H20" s="1"/>
    </row>
    <row r="21" spans="1:8" ht="23.1" customHeight="1">
      <c r="A21" s="68" t="s">
        <v>9</v>
      </c>
      <c r="B21" s="5" t="s">
        <v>25</v>
      </c>
      <c r="C21" s="69"/>
      <c r="D21" s="70">
        <f>D23+D25+D27</f>
        <v>0</v>
      </c>
      <c r="E21" s="71">
        <f>E23+E25+E27</f>
        <v>0</v>
      </c>
      <c r="F21" s="55"/>
      <c r="G21" s="56"/>
      <c r="H21" s="1"/>
    </row>
    <row r="22" spans="1:8" ht="23.1" customHeight="1">
      <c r="A22" s="68"/>
      <c r="B22" s="6" t="s">
        <v>26</v>
      </c>
      <c r="C22" s="69"/>
      <c r="D22" s="70"/>
      <c r="E22" s="71"/>
      <c r="F22" s="55"/>
      <c r="G22" s="56"/>
      <c r="H22" s="1"/>
    </row>
    <row r="23" spans="1:8" ht="23.1" customHeight="1">
      <c r="A23" s="52" t="s">
        <v>27</v>
      </c>
      <c r="B23" s="7" t="s">
        <v>28</v>
      </c>
      <c r="C23" s="53" t="s">
        <v>29</v>
      </c>
      <c r="D23" s="54">
        <v>0</v>
      </c>
      <c r="E23" s="51">
        <v>0</v>
      </c>
      <c r="F23" s="59"/>
      <c r="G23" s="60"/>
      <c r="H23" s="1"/>
    </row>
    <row r="24" spans="1:8" ht="23.1" customHeight="1">
      <c r="A24" s="52"/>
      <c r="B24" s="8" t="s">
        <v>30</v>
      </c>
      <c r="C24" s="53"/>
      <c r="D24" s="54"/>
      <c r="E24" s="51"/>
      <c r="F24" s="59"/>
      <c r="G24" s="60"/>
      <c r="H24" s="1"/>
    </row>
    <row r="25" spans="1:8" ht="23.1" customHeight="1">
      <c r="A25" s="52" t="s">
        <v>31</v>
      </c>
      <c r="B25" s="7" t="s">
        <v>32</v>
      </c>
      <c r="C25" s="53" t="s">
        <v>33</v>
      </c>
      <c r="D25" s="54">
        <v>0</v>
      </c>
      <c r="E25" s="51">
        <v>0</v>
      </c>
      <c r="F25" s="59"/>
      <c r="G25" s="60"/>
      <c r="H25" s="1"/>
    </row>
    <row r="26" spans="1:8" ht="23.1" customHeight="1">
      <c r="A26" s="52"/>
      <c r="B26" s="8" t="s">
        <v>34</v>
      </c>
      <c r="C26" s="53"/>
      <c r="D26" s="54"/>
      <c r="E26" s="51"/>
      <c r="F26" s="59"/>
      <c r="G26" s="60"/>
      <c r="H26" s="1"/>
    </row>
    <row r="27" spans="1:8" ht="23.1" customHeight="1">
      <c r="A27" s="52" t="s">
        <v>35</v>
      </c>
      <c r="B27" s="44" t="s">
        <v>366</v>
      </c>
      <c r="C27" s="53" t="s">
        <v>36</v>
      </c>
      <c r="D27" s="54" t="s">
        <v>385</v>
      </c>
      <c r="E27" s="51" t="s">
        <v>385</v>
      </c>
      <c r="F27" s="59"/>
      <c r="G27" s="60"/>
      <c r="H27" s="1"/>
    </row>
    <row r="28" spans="1:8" ht="22.5" customHeight="1">
      <c r="A28" s="52"/>
      <c r="B28" s="8" t="s">
        <v>37</v>
      </c>
      <c r="C28" s="53"/>
      <c r="D28" s="54"/>
      <c r="E28" s="51"/>
      <c r="F28" s="59"/>
      <c r="G28" s="60"/>
      <c r="H28" s="1"/>
    </row>
    <row r="29" spans="1:8" ht="12.75" customHeight="1">
      <c r="A29" s="84"/>
      <c r="B29" s="85"/>
      <c r="C29" s="85"/>
      <c r="D29" s="85"/>
      <c r="E29" s="86"/>
      <c r="F29" s="20">
        <f>D23-D25-D27</f>
        <v>0</v>
      </c>
      <c r="G29" s="32">
        <f>E23-E25-E27</f>
        <v>0</v>
      </c>
      <c r="H29" s="1"/>
    </row>
    <row r="30" spans="1:8" ht="23.1" customHeight="1">
      <c r="A30" s="68" t="s">
        <v>38</v>
      </c>
      <c r="B30" s="5" t="s">
        <v>39</v>
      </c>
      <c r="C30" s="69" t="s">
        <v>40</v>
      </c>
      <c r="D30" s="70" t="s">
        <v>385</v>
      </c>
      <c r="E30" s="71" t="s">
        <v>385</v>
      </c>
      <c r="F30" s="55"/>
      <c r="G30" s="56"/>
      <c r="H30" s="1"/>
    </row>
    <row r="31" spans="1:8" ht="22.5" customHeight="1">
      <c r="A31" s="68"/>
      <c r="B31" s="6" t="s">
        <v>41</v>
      </c>
      <c r="C31" s="69"/>
      <c r="D31" s="70"/>
      <c r="E31" s="71"/>
      <c r="F31" s="55"/>
      <c r="G31" s="56"/>
      <c r="H31" s="1"/>
    </row>
    <row r="32" spans="1:8" ht="12.75" customHeight="1">
      <c r="A32" s="84"/>
      <c r="B32" s="85"/>
      <c r="C32" s="85"/>
      <c r="D32" s="85"/>
      <c r="E32" s="86"/>
      <c r="F32" s="20">
        <f>D33+D35+D37+D39+D41-D30</f>
        <v>0</v>
      </c>
      <c r="G32" s="32">
        <f>E33+E35+E37+E39+E41-E30</f>
        <v>0</v>
      </c>
      <c r="H32" s="1"/>
    </row>
    <row r="33" spans="1:15" ht="23.1" customHeight="1">
      <c r="A33" s="52" t="s">
        <v>42</v>
      </c>
      <c r="B33" s="44" t="s">
        <v>365</v>
      </c>
      <c r="C33" s="53" t="s">
        <v>43</v>
      </c>
      <c r="D33" s="54">
        <v>0</v>
      </c>
      <c r="E33" s="51">
        <v>0</v>
      </c>
      <c r="F33" s="59"/>
      <c r="G33" s="60"/>
      <c r="H33" s="1"/>
    </row>
    <row r="34" spans="1:15" ht="23.1" customHeight="1">
      <c r="A34" s="52"/>
      <c r="B34" s="8" t="s">
        <v>44</v>
      </c>
      <c r="C34" s="53"/>
      <c r="D34" s="54"/>
      <c r="E34" s="51"/>
      <c r="F34" s="59"/>
      <c r="G34" s="60"/>
      <c r="H34" s="1"/>
    </row>
    <row r="35" spans="1:15" ht="23.1" customHeight="1">
      <c r="A35" s="52" t="s">
        <v>45</v>
      </c>
      <c r="B35" s="7" t="s">
        <v>46</v>
      </c>
      <c r="C35" s="53" t="s">
        <v>47</v>
      </c>
      <c r="D35" s="54">
        <v>0</v>
      </c>
      <c r="E35" s="51">
        <v>0</v>
      </c>
      <c r="F35" s="59"/>
      <c r="G35" s="60"/>
      <c r="H35" s="1"/>
    </row>
    <row r="36" spans="1:15" ht="23.1" customHeight="1">
      <c r="A36" s="52"/>
      <c r="B36" s="8" t="s">
        <v>48</v>
      </c>
      <c r="C36" s="53"/>
      <c r="D36" s="54"/>
      <c r="E36" s="51"/>
      <c r="F36" s="59"/>
      <c r="G36" s="60"/>
      <c r="H36" s="1"/>
    </row>
    <row r="37" spans="1:15" ht="23.1" customHeight="1">
      <c r="A37" s="52" t="s">
        <v>49</v>
      </c>
      <c r="B37" s="24" t="s">
        <v>356</v>
      </c>
      <c r="C37" s="53" t="s">
        <v>50</v>
      </c>
      <c r="D37" s="54">
        <v>0</v>
      </c>
      <c r="E37" s="51">
        <v>0</v>
      </c>
      <c r="F37" s="59"/>
      <c r="G37" s="60"/>
      <c r="H37" s="1"/>
      <c r="O37" s="14"/>
    </row>
    <row r="38" spans="1:15" ht="23.1" customHeight="1">
      <c r="A38" s="52"/>
      <c r="B38" s="8" t="s">
        <v>51</v>
      </c>
      <c r="C38" s="53"/>
      <c r="D38" s="54"/>
      <c r="E38" s="51"/>
      <c r="F38" s="59"/>
      <c r="G38" s="60"/>
      <c r="H38" s="1"/>
    </row>
    <row r="39" spans="1:15" ht="23.1" customHeight="1">
      <c r="A39" s="52" t="s">
        <v>52</v>
      </c>
      <c r="B39" s="7" t="s">
        <v>53</v>
      </c>
      <c r="C39" s="53" t="s">
        <v>54</v>
      </c>
      <c r="D39" s="54">
        <v>0</v>
      </c>
      <c r="E39" s="51">
        <v>0</v>
      </c>
      <c r="F39" s="59"/>
      <c r="G39" s="60"/>
      <c r="H39" s="1"/>
    </row>
    <row r="40" spans="1:15" ht="23.1" customHeight="1">
      <c r="A40" s="52"/>
      <c r="B40" s="8" t="s">
        <v>55</v>
      </c>
      <c r="C40" s="53"/>
      <c r="D40" s="54"/>
      <c r="E40" s="51"/>
      <c r="F40" s="59"/>
      <c r="G40" s="60"/>
      <c r="H40" s="1"/>
    </row>
    <row r="41" spans="1:15" ht="23.1" customHeight="1">
      <c r="A41" s="52" t="s">
        <v>56</v>
      </c>
      <c r="B41" s="7" t="s">
        <v>57</v>
      </c>
      <c r="C41" s="53" t="s">
        <v>58</v>
      </c>
      <c r="D41" s="54">
        <v>0</v>
      </c>
      <c r="E41" s="51">
        <v>0</v>
      </c>
      <c r="F41" s="59"/>
      <c r="G41" s="60"/>
      <c r="H41" s="1"/>
    </row>
    <row r="42" spans="1:15" ht="23.1" customHeight="1">
      <c r="A42" s="52"/>
      <c r="B42" s="8" t="s">
        <v>59</v>
      </c>
      <c r="C42" s="53"/>
      <c r="D42" s="54"/>
      <c r="E42" s="51"/>
      <c r="F42" s="59"/>
      <c r="G42" s="60"/>
      <c r="H42" s="1"/>
    </row>
    <row r="43" spans="1:15" ht="23.1" customHeight="1">
      <c r="A43" s="52" t="s">
        <v>60</v>
      </c>
      <c r="B43" s="7" t="s">
        <v>61</v>
      </c>
      <c r="C43" s="53" t="s">
        <v>62</v>
      </c>
      <c r="D43" s="54">
        <v>0</v>
      </c>
      <c r="E43" s="51">
        <v>0</v>
      </c>
      <c r="F43" s="59"/>
      <c r="G43" s="60"/>
      <c r="H43" s="1"/>
    </row>
    <row r="44" spans="1:15" ht="23.1" customHeight="1">
      <c r="A44" s="52"/>
      <c r="B44" s="8" t="s">
        <v>63</v>
      </c>
      <c r="C44" s="53"/>
      <c r="D44" s="54"/>
      <c r="E44" s="51"/>
      <c r="F44" s="59"/>
      <c r="G44" s="60"/>
      <c r="H44" s="1"/>
    </row>
    <row r="45" spans="1:15" ht="23.1" customHeight="1">
      <c r="A45" s="52" t="s">
        <v>64</v>
      </c>
      <c r="B45" s="7" t="s">
        <v>65</v>
      </c>
      <c r="C45" s="53" t="s">
        <v>66</v>
      </c>
      <c r="D45" s="54" t="s">
        <v>385</v>
      </c>
      <c r="E45" s="54" t="s">
        <v>385</v>
      </c>
      <c r="F45" s="59"/>
      <c r="G45" s="60"/>
      <c r="H45" s="1"/>
    </row>
    <row r="46" spans="1:15" ht="23.1" customHeight="1">
      <c r="A46" s="52"/>
      <c r="B46" s="8" t="s">
        <v>67</v>
      </c>
      <c r="C46" s="53"/>
      <c r="D46" s="54"/>
      <c r="E46" s="54"/>
      <c r="F46" s="59"/>
      <c r="G46" s="60"/>
      <c r="H46" s="1"/>
    </row>
    <row r="47" spans="1:15" ht="23.1" customHeight="1">
      <c r="A47" s="52" t="s">
        <v>68</v>
      </c>
      <c r="B47" s="7" t="s">
        <v>69</v>
      </c>
      <c r="C47" s="53" t="s">
        <v>70</v>
      </c>
      <c r="D47" s="54">
        <v>0</v>
      </c>
      <c r="E47" s="51">
        <v>0</v>
      </c>
      <c r="F47" s="59"/>
      <c r="G47" s="60"/>
      <c r="H47" s="1"/>
    </row>
    <row r="48" spans="1:15" ht="23.1" customHeight="1">
      <c r="A48" s="52"/>
      <c r="B48" s="8" t="s">
        <v>71</v>
      </c>
      <c r="C48" s="53"/>
      <c r="D48" s="54"/>
      <c r="E48" s="51"/>
      <c r="F48" s="59"/>
      <c r="G48" s="60"/>
      <c r="H48" s="1"/>
    </row>
    <row r="49" spans="1:8" ht="23.1" customHeight="1">
      <c r="A49" s="52" t="s">
        <v>72</v>
      </c>
      <c r="B49" s="7" t="s">
        <v>73</v>
      </c>
      <c r="C49" s="53" t="s">
        <v>74</v>
      </c>
      <c r="D49" s="54">
        <v>0</v>
      </c>
      <c r="E49" s="51">
        <v>0</v>
      </c>
      <c r="F49" s="59"/>
      <c r="G49" s="60"/>
      <c r="H49" s="1"/>
    </row>
    <row r="50" spans="1:8" ht="23.1" customHeight="1">
      <c r="A50" s="52"/>
      <c r="B50" s="8" t="s">
        <v>75</v>
      </c>
      <c r="C50" s="53"/>
      <c r="D50" s="54"/>
      <c r="E50" s="51"/>
      <c r="F50" s="59"/>
      <c r="G50" s="60"/>
      <c r="H50" s="1"/>
    </row>
    <row r="51" spans="1:8" ht="23.1" customHeight="1">
      <c r="A51" s="68" t="s">
        <v>76</v>
      </c>
      <c r="B51" s="5" t="s">
        <v>77</v>
      </c>
      <c r="C51" s="69" t="s">
        <v>78</v>
      </c>
      <c r="D51" s="70" t="s">
        <v>385</v>
      </c>
      <c r="E51" s="70" t="s">
        <v>385</v>
      </c>
      <c r="F51" s="55"/>
      <c r="G51" s="56"/>
      <c r="H51" s="1"/>
    </row>
    <row r="52" spans="1:8" ht="22.5" customHeight="1">
      <c r="A52" s="68"/>
      <c r="B52" s="6" t="s">
        <v>79</v>
      </c>
      <c r="C52" s="69"/>
      <c r="D52" s="70"/>
      <c r="E52" s="70"/>
      <c r="F52" s="55"/>
      <c r="G52" s="56"/>
      <c r="H52" s="1"/>
    </row>
    <row r="53" spans="1:8" ht="12.75" customHeight="1">
      <c r="A53" s="84"/>
      <c r="B53" s="85"/>
      <c r="C53" s="85"/>
      <c r="D53" s="85"/>
      <c r="E53" s="86"/>
      <c r="F53" s="20">
        <f>D18+D27+D30+D43+D45+D47+D49-D51</f>
        <v>0</v>
      </c>
      <c r="G53" s="32">
        <f>E18+E27+E30+E43+E45+E47+E49-E51</f>
        <v>0</v>
      </c>
      <c r="H53" s="1"/>
    </row>
    <row r="54" spans="1:8" ht="23.1" customHeight="1">
      <c r="A54" s="72" t="s">
        <v>9</v>
      </c>
      <c r="B54" s="9" t="s">
        <v>80</v>
      </c>
      <c r="C54" s="73"/>
      <c r="D54" s="74"/>
      <c r="E54" s="75"/>
      <c r="F54" s="99"/>
      <c r="G54" s="100"/>
      <c r="H54" s="1"/>
    </row>
    <row r="55" spans="1:8" ht="23.1" customHeight="1">
      <c r="A55" s="72"/>
      <c r="B55" s="10" t="s">
        <v>81</v>
      </c>
      <c r="C55" s="73"/>
      <c r="D55" s="74"/>
      <c r="E55" s="75"/>
      <c r="F55" s="99"/>
      <c r="G55" s="100"/>
      <c r="H55" s="1"/>
    </row>
    <row r="56" spans="1:8" ht="23.1" customHeight="1">
      <c r="A56" s="68" t="s">
        <v>82</v>
      </c>
      <c r="B56" s="5" t="s">
        <v>83</v>
      </c>
      <c r="C56" s="69" t="s">
        <v>84</v>
      </c>
      <c r="D56" s="70" t="s">
        <v>385</v>
      </c>
      <c r="E56" s="71" t="s">
        <v>385</v>
      </c>
      <c r="F56" s="55"/>
      <c r="G56" s="56"/>
      <c r="H56" s="1"/>
    </row>
    <row r="57" spans="1:8" ht="22.5" customHeight="1">
      <c r="A57" s="68"/>
      <c r="B57" s="6" t="s">
        <v>85</v>
      </c>
      <c r="C57" s="69"/>
      <c r="D57" s="70"/>
      <c r="E57" s="71"/>
      <c r="F57" s="55"/>
      <c r="G57" s="56"/>
      <c r="H57" s="1"/>
    </row>
    <row r="58" spans="1:8" ht="12.75" customHeight="1">
      <c r="A58" s="84"/>
      <c r="B58" s="85"/>
      <c r="C58" s="85"/>
      <c r="D58" s="85"/>
      <c r="E58" s="86"/>
      <c r="F58" s="20">
        <f>D59+D61+D63+D65-D56</f>
        <v>0</v>
      </c>
      <c r="G58" s="32">
        <f>E59+E61+E63+E65-E56</f>
        <v>0</v>
      </c>
      <c r="H58" s="1"/>
    </row>
    <row r="59" spans="1:8" ht="23.1" customHeight="1">
      <c r="A59" s="52" t="s">
        <v>86</v>
      </c>
      <c r="B59" s="7" t="s">
        <v>87</v>
      </c>
      <c r="C59" s="53" t="s">
        <v>88</v>
      </c>
      <c r="D59" s="54">
        <v>0</v>
      </c>
      <c r="E59" s="51">
        <v>0</v>
      </c>
      <c r="F59" s="59"/>
      <c r="G59" s="60"/>
      <c r="H59" s="1"/>
    </row>
    <row r="60" spans="1:8" ht="23.1" customHeight="1">
      <c r="A60" s="52"/>
      <c r="B60" s="8" t="s">
        <v>89</v>
      </c>
      <c r="C60" s="53"/>
      <c r="D60" s="54"/>
      <c r="E60" s="51"/>
      <c r="F60" s="59"/>
      <c r="G60" s="60"/>
      <c r="H60" s="1"/>
    </row>
    <row r="61" spans="1:8" ht="23.1" customHeight="1">
      <c r="A61" s="52" t="s">
        <v>90</v>
      </c>
      <c r="B61" s="7" t="s">
        <v>91</v>
      </c>
      <c r="C61" s="53" t="s">
        <v>92</v>
      </c>
      <c r="D61" s="54">
        <v>0</v>
      </c>
      <c r="E61" s="51">
        <v>0</v>
      </c>
      <c r="F61" s="59"/>
      <c r="G61" s="60"/>
      <c r="H61" s="1"/>
    </row>
    <row r="62" spans="1:8" ht="23.1" customHeight="1">
      <c r="A62" s="52"/>
      <c r="B62" s="8" t="s">
        <v>93</v>
      </c>
      <c r="C62" s="53"/>
      <c r="D62" s="54"/>
      <c r="E62" s="51"/>
      <c r="F62" s="59"/>
      <c r="G62" s="60"/>
      <c r="H62" s="1"/>
    </row>
    <row r="63" spans="1:8" ht="23.1" customHeight="1">
      <c r="A63" s="52" t="s">
        <v>94</v>
      </c>
      <c r="B63" s="7" t="s">
        <v>95</v>
      </c>
      <c r="C63" s="53" t="s">
        <v>96</v>
      </c>
      <c r="D63" s="54">
        <v>0</v>
      </c>
      <c r="E63" s="51">
        <v>0</v>
      </c>
      <c r="F63" s="59"/>
      <c r="G63" s="60"/>
      <c r="H63" s="1"/>
    </row>
    <row r="64" spans="1:8" ht="23.1" customHeight="1">
      <c r="A64" s="52"/>
      <c r="B64" s="8" t="s">
        <v>97</v>
      </c>
      <c r="C64" s="53"/>
      <c r="D64" s="54"/>
      <c r="E64" s="51"/>
      <c r="F64" s="59"/>
      <c r="G64" s="60"/>
      <c r="H64" s="1"/>
    </row>
    <row r="65" spans="1:8" ht="23.1" customHeight="1">
      <c r="A65" s="52" t="s">
        <v>98</v>
      </c>
      <c r="B65" s="7" t="s">
        <v>99</v>
      </c>
      <c r="C65" s="53" t="s">
        <v>100</v>
      </c>
      <c r="D65" s="54">
        <v>0</v>
      </c>
      <c r="E65" s="51">
        <v>0</v>
      </c>
      <c r="F65" s="59"/>
      <c r="G65" s="60"/>
      <c r="H65" s="1"/>
    </row>
    <row r="66" spans="1:8" ht="23.1" customHeight="1">
      <c r="A66" s="52"/>
      <c r="B66" s="8" t="s">
        <v>101</v>
      </c>
      <c r="C66" s="53"/>
      <c r="D66" s="54"/>
      <c r="E66" s="51"/>
      <c r="F66" s="59"/>
      <c r="G66" s="60"/>
      <c r="H66" s="1"/>
    </row>
    <row r="67" spans="1:8" ht="23.1" customHeight="1">
      <c r="A67" s="52" t="s">
        <v>102</v>
      </c>
      <c r="B67" s="7" t="s">
        <v>103</v>
      </c>
      <c r="C67" s="53" t="s">
        <v>104</v>
      </c>
      <c r="D67" s="54">
        <v>0</v>
      </c>
      <c r="E67" s="51">
        <v>0</v>
      </c>
      <c r="F67" s="59"/>
      <c r="G67" s="60"/>
      <c r="H67" s="1"/>
    </row>
    <row r="68" spans="1:8" ht="23.1" customHeight="1">
      <c r="A68" s="52"/>
      <c r="B68" s="13" t="s">
        <v>362</v>
      </c>
      <c r="C68" s="53"/>
      <c r="D68" s="54"/>
      <c r="E68" s="51"/>
      <c r="F68" s="59"/>
      <c r="G68" s="60"/>
      <c r="H68" s="1"/>
    </row>
    <row r="69" spans="1:8" ht="23.1" customHeight="1">
      <c r="A69" s="52" t="s">
        <v>106</v>
      </c>
      <c r="B69" s="7" t="s">
        <v>107</v>
      </c>
      <c r="C69" s="53" t="s">
        <v>108</v>
      </c>
      <c r="D69" s="54">
        <v>0</v>
      </c>
      <c r="E69" s="51">
        <v>0</v>
      </c>
      <c r="F69" s="59"/>
      <c r="G69" s="60"/>
      <c r="H69" s="1"/>
    </row>
    <row r="70" spans="1:8" ht="23.1" customHeight="1">
      <c r="A70" s="52"/>
      <c r="B70" s="8" t="s">
        <v>105</v>
      </c>
      <c r="C70" s="53"/>
      <c r="D70" s="54"/>
      <c r="E70" s="51"/>
      <c r="F70" s="59"/>
      <c r="G70" s="60"/>
      <c r="H70" s="1"/>
    </row>
    <row r="71" spans="1:8" ht="23.1" customHeight="1">
      <c r="A71" s="68" t="s">
        <v>109</v>
      </c>
      <c r="B71" s="5" t="s">
        <v>110</v>
      </c>
      <c r="C71" s="69" t="s">
        <v>111</v>
      </c>
      <c r="D71" s="70" t="s">
        <v>385</v>
      </c>
      <c r="E71" s="70" t="s">
        <v>385</v>
      </c>
      <c r="F71" s="55"/>
      <c r="G71" s="56"/>
      <c r="H71" s="1"/>
    </row>
    <row r="72" spans="1:8" ht="22.5" customHeight="1">
      <c r="A72" s="68"/>
      <c r="B72" s="6" t="s">
        <v>112</v>
      </c>
      <c r="C72" s="69"/>
      <c r="D72" s="70"/>
      <c r="E72" s="70"/>
      <c r="F72" s="55"/>
      <c r="G72" s="56"/>
      <c r="H72" s="1"/>
    </row>
    <row r="73" spans="1:8" ht="12.75" customHeight="1">
      <c r="A73" s="84"/>
      <c r="B73" s="85"/>
      <c r="C73" s="85"/>
      <c r="D73" s="85"/>
      <c r="E73" s="86"/>
      <c r="F73" s="20">
        <f>D76+D80+D82+D84+D86+D88+D90+D92+D94-D71</f>
        <v>0</v>
      </c>
      <c r="G73" s="32">
        <f>E76+E80+E82+E84+E86+E88+E90+E92+E94-E71</f>
        <v>0</v>
      </c>
      <c r="H73" s="1"/>
    </row>
    <row r="74" spans="1:8" ht="23.1" customHeight="1">
      <c r="A74" s="52" t="s">
        <v>113</v>
      </c>
      <c r="B74" s="44" t="s">
        <v>368</v>
      </c>
      <c r="C74" s="53" t="s">
        <v>114</v>
      </c>
      <c r="D74" s="54">
        <v>0</v>
      </c>
      <c r="E74" s="51">
        <v>0</v>
      </c>
      <c r="F74" s="59"/>
      <c r="G74" s="60"/>
      <c r="H74" s="1"/>
    </row>
    <row r="75" spans="1:8" ht="23.1" customHeight="1">
      <c r="A75" s="52"/>
      <c r="B75" s="13" t="s">
        <v>369</v>
      </c>
      <c r="C75" s="53"/>
      <c r="D75" s="54"/>
      <c r="E75" s="51"/>
      <c r="F75" s="59"/>
      <c r="G75" s="60"/>
      <c r="H75" s="1"/>
    </row>
    <row r="76" spans="1:8" ht="23.1" customHeight="1">
      <c r="A76" s="52" t="s">
        <v>115</v>
      </c>
      <c r="B76" s="7" t="s">
        <v>116</v>
      </c>
      <c r="C76" s="53" t="s">
        <v>117</v>
      </c>
      <c r="D76" s="54">
        <v>0</v>
      </c>
      <c r="E76" s="51">
        <v>0</v>
      </c>
      <c r="F76" s="59"/>
      <c r="G76" s="60"/>
      <c r="H76" s="1"/>
    </row>
    <row r="77" spans="1:8" ht="23.1" customHeight="1">
      <c r="A77" s="52"/>
      <c r="B77" s="8" t="s">
        <v>118</v>
      </c>
      <c r="C77" s="53"/>
      <c r="D77" s="54"/>
      <c r="E77" s="51"/>
      <c r="F77" s="59"/>
      <c r="G77" s="60"/>
      <c r="H77" s="1"/>
    </row>
    <row r="78" spans="1:8" ht="23.1" customHeight="1">
      <c r="A78" s="52" t="s">
        <v>119</v>
      </c>
      <c r="B78" s="7" t="s">
        <v>120</v>
      </c>
      <c r="C78" s="53" t="s">
        <v>121</v>
      </c>
      <c r="D78" s="54">
        <v>0</v>
      </c>
      <c r="E78" s="51">
        <v>0</v>
      </c>
      <c r="F78" s="59"/>
      <c r="G78" s="60"/>
      <c r="H78" s="1"/>
    </row>
    <row r="79" spans="1:8" ht="23.1" customHeight="1">
      <c r="A79" s="52"/>
      <c r="B79" s="8" t="s">
        <v>122</v>
      </c>
      <c r="C79" s="53"/>
      <c r="D79" s="54"/>
      <c r="E79" s="51"/>
      <c r="F79" s="59"/>
      <c r="G79" s="60"/>
      <c r="H79" s="1"/>
    </row>
    <row r="80" spans="1:8" ht="23.1" customHeight="1">
      <c r="A80" s="52" t="s">
        <v>123</v>
      </c>
      <c r="B80" s="7" t="s">
        <v>124</v>
      </c>
      <c r="C80" s="53" t="s">
        <v>125</v>
      </c>
      <c r="D80" s="54">
        <v>0</v>
      </c>
      <c r="E80" s="51">
        <v>0</v>
      </c>
      <c r="F80" s="59"/>
      <c r="G80" s="60"/>
      <c r="H80" s="1"/>
    </row>
    <row r="81" spans="1:8" ht="23.1" customHeight="1">
      <c r="A81" s="52"/>
      <c r="B81" s="8" t="s">
        <v>126</v>
      </c>
      <c r="C81" s="53"/>
      <c r="D81" s="54"/>
      <c r="E81" s="51"/>
      <c r="F81" s="59"/>
      <c r="G81" s="60"/>
      <c r="H81" s="1"/>
    </row>
    <row r="82" spans="1:8" ht="23.1" customHeight="1">
      <c r="A82" s="52" t="s">
        <v>127</v>
      </c>
      <c r="B82" s="7" t="s">
        <v>128</v>
      </c>
      <c r="C82" s="53" t="s">
        <v>129</v>
      </c>
      <c r="D82" s="54" t="s">
        <v>385</v>
      </c>
      <c r="E82" s="54" t="s">
        <v>385</v>
      </c>
      <c r="F82" s="59"/>
      <c r="G82" s="60"/>
      <c r="H82" s="1"/>
    </row>
    <row r="83" spans="1:8" ht="23.1" customHeight="1">
      <c r="A83" s="52"/>
      <c r="B83" s="8" t="s">
        <v>130</v>
      </c>
      <c r="C83" s="53"/>
      <c r="D83" s="54"/>
      <c r="E83" s="54"/>
      <c r="F83" s="59"/>
      <c r="G83" s="60"/>
      <c r="H83" s="1"/>
    </row>
    <row r="84" spans="1:8" ht="23.1" customHeight="1">
      <c r="A84" s="52" t="s">
        <v>131</v>
      </c>
      <c r="B84" s="7" t="s">
        <v>132</v>
      </c>
      <c r="C84" s="53" t="s">
        <v>133</v>
      </c>
      <c r="D84" s="54">
        <v>0</v>
      </c>
      <c r="E84" s="51">
        <v>0</v>
      </c>
      <c r="F84" s="59"/>
      <c r="G84" s="60"/>
      <c r="H84" s="1"/>
    </row>
    <row r="85" spans="1:8" ht="23.1" customHeight="1">
      <c r="A85" s="52"/>
      <c r="B85" s="8" t="s">
        <v>134</v>
      </c>
      <c r="C85" s="53"/>
      <c r="D85" s="54"/>
      <c r="E85" s="51"/>
      <c r="F85" s="59"/>
      <c r="G85" s="60"/>
      <c r="H85" s="1"/>
    </row>
    <row r="86" spans="1:8" ht="23.1" customHeight="1">
      <c r="A86" s="52" t="s">
        <v>135</v>
      </c>
      <c r="B86" s="7" t="s">
        <v>136</v>
      </c>
      <c r="C86" s="53" t="s">
        <v>137</v>
      </c>
      <c r="D86" s="54" t="s">
        <v>385</v>
      </c>
      <c r="E86" s="54" t="s">
        <v>385</v>
      </c>
      <c r="F86" s="59"/>
      <c r="G86" s="60"/>
      <c r="H86" s="1"/>
    </row>
    <row r="87" spans="1:8" ht="23.1" customHeight="1">
      <c r="A87" s="52"/>
      <c r="B87" s="8" t="s">
        <v>138</v>
      </c>
      <c r="C87" s="53"/>
      <c r="D87" s="54"/>
      <c r="E87" s="54"/>
      <c r="F87" s="59"/>
      <c r="G87" s="60"/>
      <c r="H87" s="1"/>
    </row>
    <row r="88" spans="1:8" ht="23.1" customHeight="1">
      <c r="A88" s="52" t="s">
        <v>139</v>
      </c>
      <c r="B88" s="7" t="s">
        <v>140</v>
      </c>
      <c r="C88" s="53" t="s">
        <v>141</v>
      </c>
      <c r="D88" s="54">
        <v>0</v>
      </c>
      <c r="E88" s="51">
        <v>0</v>
      </c>
      <c r="F88" s="59"/>
      <c r="G88" s="60"/>
      <c r="H88" s="1"/>
    </row>
    <row r="89" spans="1:8" ht="23.1" customHeight="1">
      <c r="A89" s="52"/>
      <c r="B89" s="8" t="s">
        <v>142</v>
      </c>
      <c r="C89" s="53"/>
      <c r="D89" s="54"/>
      <c r="E89" s="51"/>
      <c r="F89" s="59"/>
      <c r="G89" s="60"/>
      <c r="H89" s="1"/>
    </row>
    <row r="90" spans="1:8" ht="23.1" customHeight="1">
      <c r="A90" s="52" t="s">
        <v>143</v>
      </c>
      <c r="B90" s="7" t="s">
        <v>144</v>
      </c>
      <c r="C90" s="53" t="s">
        <v>145</v>
      </c>
      <c r="D90" s="54">
        <v>0</v>
      </c>
      <c r="E90" s="51">
        <v>0</v>
      </c>
      <c r="F90" s="59"/>
      <c r="G90" s="60"/>
      <c r="H90" s="1"/>
    </row>
    <row r="91" spans="1:8" ht="23.1" customHeight="1">
      <c r="A91" s="52"/>
      <c r="B91" s="8" t="s">
        <v>146</v>
      </c>
      <c r="C91" s="53"/>
      <c r="D91" s="54"/>
      <c r="E91" s="51"/>
      <c r="F91" s="59"/>
      <c r="G91" s="60"/>
      <c r="H91" s="1"/>
    </row>
    <row r="92" spans="1:8" ht="23.1" customHeight="1">
      <c r="A92" s="52" t="s">
        <v>147</v>
      </c>
      <c r="B92" s="7" t="s">
        <v>148</v>
      </c>
      <c r="C92" s="53" t="s">
        <v>149</v>
      </c>
      <c r="D92" s="54">
        <v>0</v>
      </c>
      <c r="E92" s="51">
        <v>0</v>
      </c>
      <c r="F92" s="59"/>
      <c r="G92" s="60"/>
      <c r="H92" s="1"/>
    </row>
    <row r="93" spans="1:8" ht="23.1" customHeight="1">
      <c r="A93" s="52"/>
      <c r="B93" s="8" t="s">
        <v>150</v>
      </c>
      <c r="C93" s="53"/>
      <c r="D93" s="54"/>
      <c r="E93" s="51"/>
      <c r="F93" s="59"/>
      <c r="G93" s="60"/>
      <c r="H93" s="1"/>
    </row>
    <row r="94" spans="1:8" ht="23.1" customHeight="1">
      <c r="A94" s="52" t="s">
        <v>151</v>
      </c>
      <c r="B94" s="7" t="s">
        <v>152</v>
      </c>
      <c r="C94" s="53" t="s">
        <v>153</v>
      </c>
      <c r="D94" s="54">
        <v>0</v>
      </c>
      <c r="E94" s="51">
        <v>0</v>
      </c>
      <c r="F94" s="59"/>
      <c r="G94" s="60"/>
      <c r="H94" s="1"/>
    </row>
    <row r="95" spans="1:8" ht="23.1" customHeight="1">
      <c r="A95" s="52"/>
      <c r="B95" s="8" t="s">
        <v>154</v>
      </c>
      <c r="C95" s="53"/>
      <c r="D95" s="54"/>
      <c r="E95" s="51"/>
      <c r="F95" s="59"/>
      <c r="G95" s="60"/>
      <c r="H95" s="1"/>
    </row>
    <row r="96" spans="1:8" ht="23.1" customHeight="1">
      <c r="A96" s="68" t="s">
        <v>155</v>
      </c>
      <c r="B96" s="5" t="s">
        <v>156</v>
      </c>
      <c r="C96" s="69" t="s">
        <v>157</v>
      </c>
      <c r="D96" s="70" t="s">
        <v>385</v>
      </c>
      <c r="E96" s="71" t="s">
        <v>385</v>
      </c>
      <c r="F96" s="55"/>
      <c r="G96" s="56"/>
      <c r="H96" s="1"/>
    </row>
    <row r="97" spans="1:8" ht="22.5" customHeight="1">
      <c r="A97" s="68"/>
      <c r="B97" s="6" t="s">
        <v>158</v>
      </c>
      <c r="C97" s="69"/>
      <c r="D97" s="70"/>
      <c r="E97" s="71"/>
      <c r="F97" s="55"/>
      <c r="G97" s="56"/>
      <c r="H97" s="1"/>
    </row>
    <row r="98" spans="1:8" ht="12.75" customHeight="1">
      <c r="A98" s="84"/>
      <c r="B98" s="85"/>
      <c r="C98" s="85"/>
      <c r="D98" s="85"/>
      <c r="E98" s="86"/>
      <c r="F98" s="20">
        <f>D99+D101+D103+D105-D96</f>
        <v>0</v>
      </c>
      <c r="G98" s="32">
        <f>E99+E101+E103+E105-E96</f>
        <v>0</v>
      </c>
      <c r="H98" s="1"/>
    </row>
    <row r="99" spans="1:8" ht="23.1" customHeight="1">
      <c r="A99" s="52" t="s">
        <v>159</v>
      </c>
      <c r="B99" s="7" t="s">
        <v>160</v>
      </c>
      <c r="C99" s="53" t="s">
        <v>161</v>
      </c>
      <c r="D99" s="54">
        <v>0</v>
      </c>
      <c r="E99" s="51">
        <v>0</v>
      </c>
      <c r="F99" s="59"/>
      <c r="G99" s="60"/>
      <c r="H99" s="1"/>
    </row>
    <row r="100" spans="1:8" ht="23.1" customHeight="1">
      <c r="A100" s="52"/>
      <c r="B100" s="8" t="s">
        <v>162</v>
      </c>
      <c r="C100" s="53"/>
      <c r="D100" s="54"/>
      <c r="E100" s="51"/>
      <c r="F100" s="59"/>
      <c r="G100" s="60"/>
      <c r="H100" s="1"/>
    </row>
    <row r="101" spans="1:8" ht="23.1" customHeight="1">
      <c r="A101" s="52" t="s">
        <v>163</v>
      </c>
      <c r="B101" s="7" t="s">
        <v>164</v>
      </c>
      <c r="C101" s="53" t="s">
        <v>165</v>
      </c>
      <c r="D101" s="54">
        <v>0</v>
      </c>
      <c r="E101" s="51">
        <v>0</v>
      </c>
      <c r="F101" s="59"/>
      <c r="G101" s="60"/>
      <c r="H101" s="1"/>
    </row>
    <row r="102" spans="1:8" ht="23.1" customHeight="1">
      <c r="A102" s="52"/>
      <c r="B102" s="8" t="s">
        <v>166</v>
      </c>
      <c r="C102" s="53"/>
      <c r="D102" s="54"/>
      <c r="E102" s="51"/>
      <c r="F102" s="59"/>
      <c r="G102" s="60"/>
      <c r="H102" s="1"/>
    </row>
    <row r="103" spans="1:8" ht="23.1" customHeight="1">
      <c r="A103" s="52" t="s">
        <v>167</v>
      </c>
      <c r="B103" s="7" t="s">
        <v>168</v>
      </c>
      <c r="C103" s="53" t="s">
        <v>169</v>
      </c>
      <c r="D103" s="54">
        <v>0</v>
      </c>
      <c r="E103" s="51">
        <v>0</v>
      </c>
      <c r="F103" s="59"/>
      <c r="G103" s="60"/>
      <c r="H103" s="1"/>
    </row>
    <row r="104" spans="1:8" ht="23.1" customHeight="1">
      <c r="A104" s="52"/>
      <c r="B104" s="8" t="s">
        <v>170</v>
      </c>
      <c r="C104" s="53"/>
      <c r="D104" s="54"/>
      <c r="E104" s="51"/>
      <c r="F104" s="59"/>
      <c r="G104" s="60"/>
      <c r="H104" s="1"/>
    </row>
    <row r="105" spans="1:8" ht="23.1" customHeight="1">
      <c r="A105" s="52" t="s">
        <v>171</v>
      </c>
      <c r="B105" s="7" t="s">
        <v>172</v>
      </c>
      <c r="C105" s="53" t="s">
        <v>173</v>
      </c>
      <c r="D105" s="54">
        <v>0</v>
      </c>
      <c r="E105" s="51">
        <v>0</v>
      </c>
      <c r="F105" s="59"/>
      <c r="G105" s="60"/>
      <c r="H105" s="1"/>
    </row>
    <row r="106" spans="1:8" ht="23.1" customHeight="1">
      <c r="A106" s="52"/>
      <c r="B106" s="8" t="s">
        <v>174</v>
      </c>
      <c r="C106" s="53"/>
      <c r="D106" s="54"/>
      <c r="E106" s="51"/>
      <c r="F106" s="59"/>
      <c r="G106" s="60"/>
      <c r="H106" s="1"/>
    </row>
    <row r="107" spans="1:8" ht="23.1" customHeight="1">
      <c r="A107" s="52" t="s">
        <v>175</v>
      </c>
      <c r="B107" s="44" t="s">
        <v>370</v>
      </c>
      <c r="C107" s="53" t="s">
        <v>176</v>
      </c>
      <c r="D107" s="54">
        <v>0</v>
      </c>
      <c r="E107" s="51">
        <v>0</v>
      </c>
      <c r="F107" s="59"/>
      <c r="G107" s="60"/>
      <c r="H107" s="1"/>
    </row>
    <row r="108" spans="1:8" ht="23.1" customHeight="1">
      <c r="A108" s="52"/>
      <c r="B108" s="8" t="s">
        <v>177</v>
      </c>
      <c r="C108" s="53"/>
      <c r="D108" s="54"/>
      <c r="E108" s="51"/>
      <c r="F108" s="59"/>
      <c r="G108" s="60"/>
      <c r="H108" s="1"/>
    </row>
    <row r="109" spans="1:8" ht="23.1" customHeight="1">
      <c r="A109" s="52" t="s">
        <v>178</v>
      </c>
      <c r="B109" s="7" t="s">
        <v>179</v>
      </c>
      <c r="C109" s="53" t="s">
        <v>180</v>
      </c>
      <c r="D109" s="54">
        <v>0</v>
      </c>
      <c r="E109" s="51">
        <v>0</v>
      </c>
      <c r="F109" s="59"/>
      <c r="G109" s="60"/>
      <c r="H109" s="1"/>
    </row>
    <row r="110" spans="1:8" ht="23.1" customHeight="1">
      <c r="A110" s="52"/>
      <c r="B110" s="8" t="s">
        <v>181</v>
      </c>
      <c r="C110" s="53"/>
      <c r="D110" s="54"/>
      <c r="E110" s="51"/>
      <c r="F110" s="59"/>
      <c r="G110" s="60"/>
      <c r="H110" s="1"/>
    </row>
    <row r="111" spans="1:8" ht="23.1" customHeight="1">
      <c r="A111" s="68" t="s">
        <v>182</v>
      </c>
      <c r="B111" s="5" t="s">
        <v>183</v>
      </c>
      <c r="C111" s="69" t="s">
        <v>184</v>
      </c>
      <c r="D111" s="70" t="s">
        <v>385</v>
      </c>
      <c r="E111" s="70" t="s">
        <v>385</v>
      </c>
      <c r="F111" s="55"/>
      <c r="G111" s="56"/>
      <c r="H111" s="1"/>
    </row>
    <row r="112" spans="1:8" ht="22.5" customHeight="1">
      <c r="A112" s="68"/>
      <c r="B112" s="6" t="s">
        <v>185</v>
      </c>
      <c r="C112" s="69"/>
      <c r="D112" s="70"/>
      <c r="E112" s="70"/>
      <c r="F112" s="55"/>
      <c r="G112" s="56"/>
      <c r="H112" s="1"/>
    </row>
    <row r="113" spans="1:10" ht="12.75" customHeight="1">
      <c r="A113" s="84"/>
      <c r="B113" s="85"/>
      <c r="C113" s="85"/>
      <c r="D113" s="85"/>
      <c r="E113" s="86"/>
      <c r="F113" s="20">
        <f>D56+D67+D69+D71+D96+D107+D109-D111</f>
        <v>0</v>
      </c>
      <c r="G113" s="32">
        <f>E56+E67+E69+E71+E96+E107+E109-E111</f>
        <v>0</v>
      </c>
      <c r="H113" s="1"/>
    </row>
    <row r="114" spans="1:10" ht="23.1" customHeight="1">
      <c r="A114" s="62" t="s">
        <v>186</v>
      </c>
      <c r="B114" s="11" t="s">
        <v>187</v>
      </c>
      <c r="C114" s="64" t="s">
        <v>188</v>
      </c>
      <c r="D114" s="66" t="s">
        <v>385</v>
      </c>
      <c r="E114" s="66" t="s">
        <v>385</v>
      </c>
      <c r="F114" s="57"/>
      <c r="G114" s="58"/>
      <c r="H114" s="1"/>
    </row>
    <row r="115" spans="1:10" ht="22.5" customHeight="1">
      <c r="A115" s="62"/>
      <c r="B115" s="12" t="s">
        <v>189</v>
      </c>
      <c r="C115" s="64"/>
      <c r="D115" s="66"/>
      <c r="E115" s="66"/>
      <c r="F115" s="57"/>
      <c r="G115" s="58"/>
      <c r="H115" s="1"/>
    </row>
    <row r="116" spans="1:10" ht="12.75" customHeight="1">
      <c r="A116" s="84"/>
      <c r="B116" s="85"/>
      <c r="C116" s="85"/>
      <c r="D116" s="85"/>
      <c r="E116" s="86"/>
      <c r="F116" s="20">
        <f>D51+D111-D114</f>
        <v>0</v>
      </c>
      <c r="G116" s="32">
        <f>E51+E111-E114</f>
        <v>0</v>
      </c>
      <c r="H116" s="1"/>
    </row>
    <row r="117" spans="1:10" ht="11.25" customHeight="1">
      <c r="A117" s="89" t="s">
        <v>9</v>
      </c>
      <c r="B117" s="76" t="s">
        <v>190</v>
      </c>
      <c r="C117" s="78"/>
      <c r="D117" s="80"/>
      <c r="E117" s="82"/>
      <c r="F117" s="105"/>
      <c r="G117" s="106"/>
      <c r="H117" s="1"/>
    </row>
    <row r="118" spans="1:10" ht="11.25" customHeight="1">
      <c r="A118" s="90"/>
      <c r="B118" s="77"/>
      <c r="C118" s="79"/>
      <c r="D118" s="81"/>
      <c r="E118" s="83"/>
      <c r="F118" s="105"/>
      <c r="G118" s="106"/>
      <c r="H118" s="1"/>
      <c r="J118" s="16"/>
    </row>
    <row r="119" spans="1:10" ht="23.1" customHeight="1">
      <c r="A119" s="72" t="s">
        <v>9</v>
      </c>
      <c r="B119" s="3" t="s">
        <v>191</v>
      </c>
      <c r="C119" s="73"/>
      <c r="D119" s="74"/>
      <c r="E119" s="75"/>
      <c r="F119" s="99"/>
      <c r="G119" s="100"/>
      <c r="H119" s="1"/>
    </row>
    <row r="120" spans="1:10" ht="23.1" customHeight="1">
      <c r="A120" s="72"/>
      <c r="B120" s="4" t="s">
        <v>192</v>
      </c>
      <c r="C120" s="73"/>
      <c r="D120" s="74"/>
      <c r="E120" s="75"/>
      <c r="F120" s="99"/>
      <c r="G120" s="100"/>
      <c r="H120" s="1"/>
    </row>
    <row r="121" spans="1:10" ht="23.1" customHeight="1">
      <c r="A121" s="52" t="s">
        <v>193</v>
      </c>
      <c r="B121" s="7" t="s">
        <v>194</v>
      </c>
      <c r="C121" s="53" t="s">
        <v>195</v>
      </c>
      <c r="D121" s="54" t="s">
        <v>385</v>
      </c>
      <c r="E121" s="54" t="s">
        <v>385</v>
      </c>
      <c r="F121" s="59"/>
      <c r="G121" s="60"/>
      <c r="H121" s="1"/>
    </row>
    <row r="122" spans="1:10" ht="23.1" customHeight="1">
      <c r="A122" s="52"/>
      <c r="B122" s="8" t="s">
        <v>196</v>
      </c>
      <c r="C122" s="53"/>
      <c r="D122" s="54"/>
      <c r="E122" s="54"/>
      <c r="F122" s="59"/>
      <c r="G122" s="60"/>
      <c r="H122" s="1"/>
    </row>
    <row r="123" spans="1:10" ht="23.1" customHeight="1">
      <c r="A123" s="52" t="s">
        <v>197</v>
      </c>
      <c r="B123" s="7" t="s">
        <v>198</v>
      </c>
      <c r="C123" s="53" t="s">
        <v>199</v>
      </c>
      <c r="D123" s="54">
        <v>0</v>
      </c>
      <c r="E123" s="51">
        <v>0</v>
      </c>
      <c r="F123" s="59"/>
      <c r="G123" s="60"/>
      <c r="H123" s="1"/>
    </row>
    <row r="124" spans="1:10" ht="23.1" customHeight="1">
      <c r="A124" s="52"/>
      <c r="B124" s="8" t="s">
        <v>200</v>
      </c>
      <c r="C124" s="53"/>
      <c r="D124" s="54"/>
      <c r="E124" s="51"/>
      <c r="F124" s="59"/>
      <c r="G124" s="60"/>
      <c r="H124" s="1"/>
    </row>
    <row r="125" spans="1:10" ht="23.1" customHeight="1">
      <c r="A125" s="52" t="s">
        <v>201</v>
      </c>
      <c r="B125" s="7" t="s">
        <v>202</v>
      </c>
      <c r="C125" s="53" t="s">
        <v>203</v>
      </c>
      <c r="D125" s="54">
        <v>0</v>
      </c>
      <c r="E125" s="51">
        <v>0</v>
      </c>
      <c r="F125" s="59"/>
      <c r="G125" s="60"/>
      <c r="H125" s="1"/>
    </row>
    <row r="126" spans="1:10" ht="23.1" customHeight="1">
      <c r="A126" s="52"/>
      <c r="B126" s="8" t="s">
        <v>204</v>
      </c>
      <c r="C126" s="53"/>
      <c r="D126" s="54"/>
      <c r="E126" s="51"/>
      <c r="F126" s="59"/>
      <c r="G126" s="60"/>
      <c r="H126" s="1"/>
    </row>
    <row r="127" spans="1:10" ht="23.1" customHeight="1">
      <c r="A127" s="52" t="s">
        <v>205</v>
      </c>
      <c r="B127" s="7" t="s">
        <v>206</v>
      </c>
      <c r="C127" s="53" t="s">
        <v>207</v>
      </c>
      <c r="D127" s="54">
        <v>0</v>
      </c>
      <c r="E127" s="51">
        <v>0</v>
      </c>
      <c r="F127" s="59"/>
      <c r="G127" s="60"/>
      <c r="H127" s="1"/>
    </row>
    <row r="128" spans="1:10" ht="23.1" customHeight="1">
      <c r="A128" s="52"/>
      <c r="B128" s="8" t="s">
        <v>208</v>
      </c>
      <c r="C128" s="53"/>
      <c r="D128" s="54"/>
      <c r="E128" s="51"/>
      <c r="F128" s="59"/>
      <c r="G128" s="60"/>
      <c r="H128" s="1"/>
    </row>
    <row r="129" spans="1:8" ht="23.1" customHeight="1">
      <c r="A129" s="52" t="s">
        <v>209</v>
      </c>
      <c r="B129" s="7" t="s">
        <v>210</v>
      </c>
      <c r="C129" s="53" t="s">
        <v>211</v>
      </c>
      <c r="D129" s="54">
        <v>0</v>
      </c>
      <c r="E129" s="51">
        <v>0</v>
      </c>
      <c r="F129" s="59"/>
      <c r="G129" s="60"/>
      <c r="H129" s="1"/>
    </row>
    <row r="130" spans="1:8" ht="23.1" customHeight="1">
      <c r="A130" s="52"/>
      <c r="B130" s="8" t="s">
        <v>212</v>
      </c>
      <c r="C130" s="53"/>
      <c r="D130" s="54"/>
      <c r="E130" s="51"/>
      <c r="F130" s="59"/>
      <c r="G130" s="60"/>
      <c r="H130" s="1"/>
    </row>
    <row r="131" spans="1:8" ht="23.1" customHeight="1">
      <c r="A131" s="52" t="s">
        <v>213</v>
      </c>
      <c r="B131" s="7" t="s">
        <v>214</v>
      </c>
      <c r="C131" s="53" t="s">
        <v>215</v>
      </c>
      <c r="D131" s="54">
        <v>0</v>
      </c>
      <c r="E131" s="51">
        <v>0</v>
      </c>
      <c r="F131" s="59"/>
      <c r="G131" s="60"/>
      <c r="H131" s="1"/>
    </row>
    <row r="132" spans="1:8" ht="23.1" customHeight="1">
      <c r="A132" s="52"/>
      <c r="B132" s="13" t="s">
        <v>361</v>
      </c>
      <c r="C132" s="53"/>
      <c r="D132" s="54"/>
      <c r="E132" s="51"/>
      <c r="F132" s="59"/>
      <c r="G132" s="60"/>
      <c r="H132" s="1"/>
    </row>
    <row r="133" spans="1:8" ht="23.1" customHeight="1">
      <c r="A133" s="52" t="s">
        <v>216</v>
      </c>
      <c r="B133" s="7" t="s">
        <v>217</v>
      </c>
      <c r="C133" s="53" t="s">
        <v>218</v>
      </c>
      <c r="D133" s="54">
        <v>0</v>
      </c>
      <c r="E133" s="51">
        <v>0</v>
      </c>
      <c r="F133" s="59"/>
      <c r="G133" s="60"/>
      <c r="H133" s="1"/>
    </row>
    <row r="134" spans="1:8" ht="23.1" customHeight="1">
      <c r="A134" s="52"/>
      <c r="B134" s="8" t="s">
        <v>219</v>
      </c>
      <c r="C134" s="53"/>
      <c r="D134" s="54"/>
      <c r="E134" s="51"/>
      <c r="F134" s="59"/>
      <c r="G134" s="60"/>
      <c r="H134" s="1"/>
    </row>
    <row r="135" spans="1:8" ht="23.1" customHeight="1">
      <c r="A135" s="68" t="s">
        <v>220</v>
      </c>
      <c r="B135" s="5" t="s">
        <v>221</v>
      </c>
      <c r="C135" s="69" t="s">
        <v>222</v>
      </c>
      <c r="D135" s="70" t="s">
        <v>385</v>
      </c>
      <c r="E135" s="70" t="s">
        <v>385</v>
      </c>
      <c r="F135" s="55"/>
      <c r="G135" s="56"/>
      <c r="H135" s="1"/>
    </row>
    <row r="136" spans="1:8" ht="22.5" customHeight="1">
      <c r="A136" s="68"/>
      <c r="B136" s="6" t="s">
        <v>223</v>
      </c>
      <c r="C136" s="69"/>
      <c r="D136" s="70"/>
      <c r="E136" s="70"/>
      <c r="F136" s="55"/>
      <c r="G136" s="56"/>
      <c r="H136" s="1"/>
    </row>
    <row r="137" spans="1:8" ht="12.75" customHeight="1">
      <c r="A137" s="84"/>
      <c r="B137" s="85"/>
      <c r="C137" s="85"/>
      <c r="D137" s="85"/>
      <c r="E137" s="86"/>
      <c r="F137" s="20">
        <f>D121+D123+D125+D127+D129+D131+D133-D135</f>
        <v>0</v>
      </c>
      <c r="G137" s="32">
        <f>E121+E123+E125+E127+E129+E131+E133-E135</f>
        <v>0</v>
      </c>
      <c r="H137" s="1"/>
    </row>
    <row r="138" spans="1:8" ht="23.1" customHeight="1">
      <c r="A138" s="72" t="s">
        <v>9</v>
      </c>
      <c r="B138" s="9" t="s">
        <v>224</v>
      </c>
      <c r="C138" s="73"/>
      <c r="D138" s="74"/>
      <c r="E138" s="75"/>
      <c r="F138" s="99"/>
      <c r="G138" s="100"/>
      <c r="H138" s="22"/>
    </row>
    <row r="139" spans="1:8" ht="23.1" customHeight="1">
      <c r="A139" s="72"/>
      <c r="B139" s="10" t="s">
        <v>225</v>
      </c>
      <c r="C139" s="73"/>
      <c r="D139" s="74"/>
      <c r="E139" s="75"/>
      <c r="F139" s="99"/>
      <c r="G139" s="100"/>
      <c r="H139" s="22"/>
    </row>
    <row r="140" spans="1:8" ht="23.1" customHeight="1">
      <c r="A140" s="68" t="s">
        <v>226</v>
      </c>
      <c r="B140" s="5" t="s">
        <v>227</v>
      </c>
      <c r="C140" s="69" t="s">
        <v>228</v>
      </c>
      <c r="D140" s="70" t="s">
        <v>385</v>
      </c>
      <c r="E140" s="71" t="s">
        <v>385</v>
      </c>
      <c r="F140" s="55"/>
      <c r="G140" s="56"/>
      <c r="H140" s="22"/>
    </row>
    <row r="141" spans="1:8" ht="22.5" customHeight="1">
      <c r="A141" s="68"/>
      <c r="B141" s="6" t="s">
        <v>229</v>
      </c>
      <c r="C141" s="69"/>
      <c r="D141" s="70"/>
      <c r="E141" s="71"/>
      <c r="F141" s="55"/>
      <c r="G141" s="56"/>
      <c r="H141" s="22"/>
    </row>
    <row r="142" spans="1:8" ht="12.75" customHeight="1">
      <c r="A142" s="84"/>
      <c r="B142" s="85"/>
      <c r="C142" s="85"/>
      <c r="D142" s="85"/>
      <c r="E142" s="86"/>
      <c r="F142" s="20">
        <f>D146+D150+D152+D154+D156+D158+D160+D162+D164-D140</f>
        <v>0</v>
      </c>
      <c r="G142" s="32">
        <f>E146+E150+E152+E154+E156+E158+E160+E162+E164-E140</f>
        <v>0</v>
      </c>
      <c r="H142" s="22"/>
    </row>
    <row r="143" spans="1:8" ht="23.1" customHeight="1">
      <c r="A143" s="52" t="s">
        <v>230</v>
      </c>
      <c r="B143" s="44" t="s">
        <v>371</v>
      </c>
      <c r="C143" s="53" t="s">
        <v>231</v>
      </c>
      <c r="D143" s="54" t="s">
        <v>385</v>
      </c>
      <c r="E143" s="51" t="s">
        <v>385</v>
      </c>
      <c r="F143" s="59"/>
      <c r="G143" s="60"/>
      <c r="H143" s="22"/>
    </row>
    <row r="144" spans="1:8" ht="22.5" customHeight="1">
      <c r="A144" s="52"/>
      <c r="B144" s="13" t="s">
        <v>372</v>
      </c>
      <c r="C144" s="53"/>
      <c r="D144" s="54"/>
      <c r="E144" s="51"/>
      <c r="F144" s="59"/>
      <c r="G144" s="60"/>
      <c r="H144" s="22"/>
    </row>
    <row r="145" spans="1:8" ht="12.75" customHeight="1">
      <c r="A145" s="84"/>
      <c r="B145" s="85"/>
      <c r="C145" s="85"/>
      <c r="D145" s="85"/>
      <c r="E145" s="86"/>
      <c r="F145" s="20">
        <f>D146+D150+D154+D158+D164-D143</f>
        <v>0</v>
      </c>
      <c r="G145" s="32">
        <f>E146+E150+E154+E158+E164-E143</f>
        <v>0</v>
      </c>
      <c r="H145" s="22"/>
    </row>
    <row r="146" spans="1:8" ht="22.5" customHeight="1">
      <c r="A146" s="52" t="s">
        <v>232</v>
      </c>
      <c r="B146" s="7" t="s">
        <v>233</v>
      </c>
      <c r="C146" s="53" t="s">
        <v>234</v>
      </c>
      <c r="D146" s="54">
        <v>0</v>
      </c>
      <c r="E146" s="51">
        <v>0</v>
      </c>
      <c r="F146" s="59"/>
      <c r="G146" s="60"/>
      <c r="H146" s="22"/>
    </row>
    <row r="147" spans="1:8" ht="22.5" customHeight="1">
      <c r="A147" s="52"/>
      <c r="B147" s="8" t="s">
        <v>235</v>
      </c>
      <c r="C147" s="53"/>
      <c r="D147" s="54"/>
      <c r="E147" s="51"/>
      <c r="F147" s="59"/>
      <c r="G147" s="60"/>
      <c r="H147" s="22"/>
    </row>
    <row r="148" spans="1:8" ht="22.5" customHeight="1">
      <c r="A148" s="52" t="s">
        <v>236</v>
      </c>
      <c r="B148" s="7" t="s">
        <v>237</v>
      </c>
      <c r="C148" s="53" t="s">
        <v>238</v>
      </c>
      <c r="D148" s="54">
        <v>0</v>
      </c>
      <c r="E148" s="51">
        <v>0</v>
      </c>
      <c r="F148" s="59"/>
      <c r="G148" s="60"/>
      <c r="H148" s="22"/>
    </row>
    <row r="149" spans="1:8" ht="22.5" customHeight="1">
      <c r="A149" s="52"/>
      <c r="B149" s="8" t="s">
        <v>239</v>
      </c>
      <c r="C149" s="53"/>
      <c r="D149" s="54"/>
      <c r="E149" s="51"/>
      <c r="F149" s="59"/>
      <c r="G149" s="60"/>
      <c r="H149" s="22"/>
    </row>
    <row r="150" spans="1:8" ht="22.5" customHeight="1">
      <c r="A150" s="52" t="s">
        <v>240</v>
      </c>
      <c r="B150" s="7" t="s">
        <v>241</v>
      </c>
      <c r="C150" s="53" t="s">
        <v>242</v>
      </c>
      <c r="D150" s="54">
        <v>0</v>
      </c>
      <c r="E150" s="51">
        <v>0</v>
      </c>
      <c r="F150" s="59"/>
      <c r="G150" s="60"/>
      <c r="H150" s="22"/>
    </row>
    <row r="151" spans="1:8" ht="22.5" customHeight="1">
      <c r="A151" s="52"/>
      <c r="B151" s="8" t="s">
        <v>243</v>
      </c>
      <c r="C151" s="53"/>
      <c r="D151" s="54"/>
      <c r="E151" s="51"/>
      <c r="F151" s="59"/>
      <c r="G151" s="60"/>
      <c r="H151" s="22"/>
    </row>
    <row r="152" spans="1:8" ht="22.5" customHeight="1">
      <c r="A152" s="52" t="s">
        <v>244</v>
      </c>
      <c r="B152" s="7" t="s">
        <v>245</v>
      </c>
      <c r="C152" s="53" t="s">
        <v>246</v>
      </c>
      <c r="D152" s="54">
        <v>0</v>
      </c>
      <c r="E152" s="51">
        <v>0</v>
      </c>
      <c r="F152" s="59"/>
      <c r="G152" s="60"/>
      <c r="H152" s="22"/>
    </row>
    <row r="153" spans="1:8" ht="22.5" customHeight="1">
      <c r="A153" s="52"/>
      <c r="B153" s="8" t="s">
        <v>247</v>
      </c>
      <c r="C153" s="53"/>
      <c r="D153" s="54"/>
      <c r="E153" s="51"/>
      <c r="F153" s="59"/>
      <c r="G153" s="60"/>
      <c r="H153" s="22"/>
    </row>
    <row r="154" spans="1:8" ht="22.5" customHeight="1">
      <c r="A154" s="52" t="s">
        <v>248</v>
      </c>
      <c r="B154" s="7" t="s">
        <v>249</v>
      </c>
      <c r="C154" s="53" t="s">
        <v>250</v>
      </c>
      <c r="D154" s="54">
        <v>0</v>
      </c>
      <c r="E154" s="51">
        <v>0</v>
      </c>
      <c r="F154" s="59"/>
      <c r="G154" s="60"/>
      <c r="H154" s="22"/>
    </row>
    <row r="155" spans="1:8" ht="22.5" customHeight="1">
      <c r="A155" s="52"/>
      <c r="B155" s="8" t="s">
        <v>251</v>
      </c>
      <c r="C155" s="53"/>
      <c r="D155" s="54"/>
      <c r="E155" s="51"/>
      <c r="F155" s="59"/>
      <c r="G155" s="60"/>
      <c r="H155" s="22"/>
    </row>
    <row r="156" spans="1:8" ht="22.5" customHeight="1">
      <c r="A156" s="52" t="s">
        <v>252</v>
      </c>
      <c r="B156" s="7" t="s">
        <v>253</v>
      </c>
      <c r="C156" s="53" t="s">
        <v>254</v>
      </c>
      <c r="D156" s="54">
        <v>0</v>
      </c>
      <c r="E156" s="51">
        <v>0</v>
      </c>
      <c r="F156" s="59"/>
      <c r="G156" s="60"/>
      <c r="H156" s="22"/>
    </row>
    <row r="157" spans="1:8" ht="22.5" customHeight="1">
      <c r="A157" s="52"/>
      <c r="B157" s="8" t="s">
        <v>255</v>
      </c>
      <c r="C157" s="53"/>
      <c r="D157" s="54"/>
      <c r="E157" s="51"/>
      <c r="F157" s="59"/>
      <c r="G157" s="60"/>
      <c r="H157" s="22"/>
    </row>
    <row r="158" spans="1:8" ht="22.5" customHeight="1">
      <c r="A158" s="52" t="s">
        <v>256</v>
      </c>
      <c r="B158" s="7" t="s">
        <v>257</v>
      </c>
      <c r="C158" s="53" t="s">
        <v>258</v>
      </c>
      <c r="D158" s="54">
        <v>0</v>
      </c>
      <c r="E158" s="51">
        <v>0</v>
      </c>
      <c r="F158" s="59"/>
      <c r="G158" s="60"/>
      <c r="H158" s="22"/>
    </row>
    <row r="159" spans="1:8" ht="22.5" customHeight="1">
      <c r="A159" s="52"/>
      <c r="B159" s="8" t="s">
        <v>259</v>
      </c>
      <c r="C159" s="53"/>
      <c r="D159" s="54"/>
      <c r="E159" s="51"/>
      <c r="F159" s="59"/>
      <c r="G159" s="60"/>
      <c r="H159" s="22"/>
    </row>
    <row r="160" spans="1:8" ht="22.5" customHeight="1">
      <c r="A160" s="52" t="s">
        <v>260</v>
      </c>
      <c r="B160" s="7" t="s">
        <v>261</v>
      </c>
      <c r="C160" s="53" t="s">
        <v>262</v>
      </c>
      <c r="D160" s="54">
        <v>0</v>
      </c>
      <c r="E160" s="51">
        <v>0</v>
      </c>
      <c r="F160" s="59"/>
      <c r="G160" s="60"/>
      <c r="H160" s="22"/>
    </row>
    <row r="161" spans="1:10" ht="22.5" customHeight="1">
      <c r="A161" s="52"/>
      <c r="B161" s="8" t="s">
        <v>263</v>
      </c>
      <c r="C161" s="53"/>
      <c r="D161" s="54"/>
      <c r="E161" s="51"/>
      <c r="F161" s="59"/>
      <c r="G161" s="60"/>
      <c r="H161" s="22"/>
    </row>
    <row r="162" spans="1:10" ht="22.5" customHeight="1">
      <c r="A162" s="52" t="s">
        <v>264</v>
      </c>
      <c r="B162" s="7" t="s">
        <v>265</v>
      </c>
      <c r="C162" s="53" t="s">
        <v>266</v>
      </c>
      <c r="D162" s="54">
        <v>0</v>
      </c>
      <c r="E162" s="51">
        <v>0</v>
      </c>
      <c r="F162" s="59"/>
      <c r="G162" s="60"/>
      <c r="H162" s="22"/>
    </row>
    <row r="163" spans="1:10" ht="22.5" customHeight="1">
      <c r="A163" s="52"/>
      <c r="B163" s="8" t="s">
        <v>267</v>
      </c>
      <c r="C163" s="53"/>
      <c r="D163" s="54"/>
      <c r="E163" s="51"/>
      <c r="F163" s="59"/>
      <c r="G163" s="60"/>
      <c r="H163" s="22"/>
    </row>
    <row r="164" spans="1:10" ht="22.5" customHeight="1">
      <c r="A164" s="52" t="s">
        <v>268</v>
      </c>
      <c r="B164" s="7" t="s">
        <v>269</v>
      </c>
      <c r="C164" s="53" t="s">
        <v>270</v>
      </c>
      <c r="D164" s="54">
        <v>0</v>
      </c>
      <c r="E164" s="51">
        <v>0</v>
      </c>
      <c r="F164" s="59"/>
      <c r="G164" s="60"/>
      <c r="H164" s="22"/>
    </row>
    <row r="165" spans="1:10" ht="22.5" customHeight="1">
      <c r="A165" s="52"/>
      <c r="B165" s="8" t="s">
        <v>271</v>
      </c>
      <c r="C165" s="53"/>
      <c r="D165" s="54"/>
      <c r="E165" s="51"/>
      <c r="F165" s="59"/>
      <c r="G165" s="60"/>
      <c r="H165" s="22"/>
    </row>
    <row r="166" spans="1:10" ht="34.5" customHeight="1">
      <c r="A166" s="68" t="s">
        <v>272</v>
      </c>
      <c r="B166" s="17" t="s">
        <v>347</v>
      </c>
      <c r="C166" s="69" t="s">
        <v>273</v>
      </c>
      <c r="D166" s="70" t="s">
        <v>385</v>
      </c>
      <c r="E166" s="70" t="s">
        <v>385</v>
      </c>
      <c r="F166" s="55"/>
      <c r="G166" s="56"/>
      <c r="H166" s="22"/>
      <c r="J166" s="19"/>
    </row>
    <row r="167" spans="1:10" ht="34.5" customHeight="1">
      <c r="A167" s="68"/>
      <c r="B167" s="18" t="s">
        <v>348</v>
      </c>
      <c r="C167" s="69"/>
      <c r="D167" s="70"/>
      <c r="E167" s="70"/>
      <c r="F167" s="55"/>
      <c r="G167" s="56"/>
      <c r="H167" s="22"/>
    </row>
    <row r="168" spans="1:10" ht="12.75" customHeight="1">
      <c r="A168" s="84"/>
      <c r="B168" s="85"/>
      <c r="C168" s="85"/>
      <c r="D168" s="85"/>
      <c r="E168" s="86"/>
      <c r="F168" s="20">
        <f>D174+D178+D180+D182+D184+D186+D188+D190+D192+D194+D196+D198+D200+D202+D204-D166</f>
        <v>0</v>
      </c>
      <c r="G168" s="32">
        <f>E174+E178+E180+E182+E184+E186+E188+E190+E192+E194+E196+E198+E200+E202+E204-E166</f>
        <v>0</v>
      </c>
      <c r="H168" s="22"/>
    </row>
    <row r="169" spans="1:10" ht="22.5" customHeight="1">
      <c r="A169" s="52" t="s">
        <v>274</v>
      </c>
      <c r="B169" s="24" t="s">
        <v>373</v>
      </c>
      <c r="C169" s="53" t="s">
        <v>275</v>
      </c>
      <c r="D169" s="54" t="s">
        <v>385</v>
      </c>
      <c r="E169" s="54" t="s">
        <v>385</v>
      </c>
      <c r="F169" s="59"/>
      <c r="G169" s="60"/>
      <c r="H169" s="22"/>
      <c r="J169" s="19"/>
    </row>
    <row r="170" spans="1:10" ht="22.5" customHeight="1">
      <c r="A170" s="52"/>
      <c r="B170" s="25" t="s">
        <v>374</v>
      </c>
      <c r="C170" s="53"/>
      <c r="D170" s="54"/>
      <c r="E170" s="54"/>
      <c r="F170" s="59"/>
      <c r="G170" s="60"/>
      <c r="H170" s="22"/>
    </row>
    <row r="171" spans="1:10" ht="12.75" customHeight="1">
      <c r="A171" s="84"/>
      <c r="B171" s="85"/>
      <c r="C171" s="85"/>
      <c r="D171" s="85"/>
      <c r="E171" s="86"/>
      <c r="F171" s="20">
        <f>D174+D178+D182+D186+D188+D190+D192+D194+D196+D204-D169</f>
        <v>0</v>
      </c>
      <c r="G171" s="32">
        <f>E174+E178+E182+E186+E188+E190+E192+E194+E196+E204-E169</f>
        <v>0</v>
      </c>
      <c r="H171" s="22"/>
    </row>
    <row r="172" spans="1:10" ht="23.1" customHeight="1">
      <c r="A172" s="52" t="s">
        <v>276</v>
      </c>
      <c r="B172" s="44" t="s">
        <v>375</v>
      </c>
      <c r="C172" s="53" t="s">
        <v>277</v>
      </c>
      <c r="D172" s="54">
        <v>0</v>
      </c>
      <c r="E172" s="51">
        <v>0</v>
      </c>
      <c r="F172" s="59"/>
      <c r="G172" s="60"/>
      <c r="H172" s="22"/>
    </row>
    <row r="173" spans="1:10" ht="23.1" customHeight="1">
      <c r="A173" s="52"/>
      <c r="B173" s="13" t="s">
        <v>376</v>
      </c>
      <c r="C173" s="53"/>
      <c r="D173" s="54"/>
      <c r="E173" s="51"/>
      <c r="F173" s="59"/>
      <c r="G173" s="60"/>
      <c r="H173" s="22"/>
    </row>
    <row r="174" spans="1:10" ht="23.1" customHeight="1">
      <c r="A174" s="52" t="s">
        <v>278</v>
      </c>
      <c r="B174" s="7" t="s">
        <v>279</v>
      </c>
      <c r="C174" s="53" t="s">
        <v>280</v>
      </c>
      <c r="D174" s="54">
        <v>0</v>
      </c>
      <c r="E174" s="51">
        <v>0</v>
      </c>
      <c r="F174" s="59"/>
      <c r="G174" s="60"/>
      <c r="H174" s="22"/>
    </row>
    <row r="175" spans="1:10" ht="23.1" customHeight="1">
      <c r="A175" s="52"/>
      <c r="B175" s="8" t="s">
        <v>281</v>
      </c>
      <c r="C175" s="53"/>
      <c r="D175" s="54"/>
      <c r="E175" s="51"/>
      <c r="F175" s="59"/>
      <c r="G175" s="60"/>
      <c r="H175" s="22"/>
    </row>
    <row r="176" spans="1:10" ht="23.1" customHeight="1">
      <c r="A176" s="52" t="s">
        <v>282</v>
      </c>
      <c r="B176" s="7" t="s">
        <v>283</v>
      </c>
      <c r="C176" s="53" t="s">
        <v>284</v>
      </c>
      <c r="D176" s="54">
        <v>0</v>
      </c>
      <c r="E176" s="51">
        <v>0</v>
      </c>
      <c r="F176" s="59"/>
      <c r="G176" s="60"/>
      <c r="H176" s="22"/>
    </row>
    <row r="177" spans="1:8" ht="23.1" customHeight="1">
      <c r="A177" s="52"/>
      <c r="B177" s="8" t="s">
        <v>285</v>
      </c>
      <c r="C177" s="53"/>
      <c r="D177" s="54"/>
      <c r="E177" s="51"/>
      <c r="F177" s="59"/>
      <c r="G177" s="60"/>
      <c r="H177" s="22"/>
    </row>
    <row r="178" spans="1:8" ht="23.1" customHeight="1">
      <c r="A178" s="52" t="s">
        <v>286</v>
      </c>
      <c r="B178" s="7" t="s">
        <v>287</v>
      </c>
      <c r="C178" s="53" t="s">
        <v>288</v>
      </c>
      <c r="D178" s="54">
        <v>0</v>
      </c>
      <c r="E178" s="51">
        <v>0</v>
      </c>
      <c r="F178" s="59"/>
      <c r="G178" s="60"/>
      <c r="H178" s="22"/>
    </row>
    <row r="179" spans="1:8" ht="23.1" customHeight="1">
      <c r="A179" s="52"/>
      <c r="B179" s="8" t="s">
        <v>289</v>
      </c>
      <c r="C179" s="53"/>
      <c r="D179" s="54"/>
      <c r="E179" s="51"/>
      <c r="F179" s="59"/>
      <c r="G179" s="60"/>
      <c r="H179" s="22"/>
    </row>
    <row r="180" spans="1:8" ht="23.1" customHeight="1">
      <c r="A180" s="52" t="s">
        <v>290</v>
      </c>
      <c r="B180" s="7" t="s">
        <v>291</v>
      </c>
      <c r="C180" s="53" t="s">
        <v>292</v>
      </c>
      <c r="D180" s="54">
        <v>0</v>
      </c>
      <c r="E180" s="51">
        <v>0</v>
      </c>
      <c r="F180" s="59"/>
      <c r="G180" s="60"/>
      <c r="H180" s="22"/>
    </row>
    <row r="181" spans="1:8" ht="23.1" customHeight="1">
      <c r="A181" s="52"/>
      <c r="B181" s="8" t="s">
        <v>293</v>
      </c>
      <c r="C181" s="53"/>
      <c r="D181" s="54"/>
      <c r="E181" s="51"/>
      <c r="F181" s="59"/>
      <c r="G181" s="60"/>
      <c r="H181" s="22"/>
    </row>
    <row r="182" spans="1:8" ht="23.1" customHeight="1">
      <c r="A182" s="52" t="s">
        <v>294</v>
      </c>
      <c r="B182" s="7" t="s">
        <v>295</v>
      </c>
      <c r="C182" s="53" t="s">
        <v>296</v>
      </c>
      <c r="D182" s="54">
        <v>0</v>
      </c>
      <c r="E182" s="51">
        <v>0</v>
      </c>
      <c r="F182" s="59"/>
      <c r="G182" s="60"/>
      <c r="H182" s="22"/>
    </row>
    <row r="183" spans="1:8" ht="23.1" customHeight="1">
      <c r="A183" s="52"/>
      <c r="B183" s="13" t="s">
        <v>364</v>
      </c>
      <c r="C183" s="53"/>
      <c r="D183" s="54"/>
      <c r="E183" s="51"/>
      <c r="F183" s="59"/>
      <c r="G183" s="60"/>
      <c r="H183" s="22"/>
    </row>
    <row r="184" spans="1:8" ht="23.1" customHeight="1">
      <c r="A184" s="52" t="s">
        <v>297</v>
      </c>
      <c r="B184" s="7" t="s">
        <v>298</v>
      </c>
      <c r="C184" s="53" t="s">
        <v>299</v>
      </c>
      <c r="D184" s="54">
        <v>0</v>
      </c>
      <c r="E184" s="51">
        <v>0</v>
      </c>
      <c r="F184" s="59"/>
      <c r="G184" s="60"/>
      <c r="H184" s="22"/>
    </row>
    <row r="185" spans="1:8" ht="23.1" customHeight="1">
      <c r="A185" s="52"/>
      <c r="B185" s="13" t="s">
        <v>363</v>
      </c>
      <c r="C185" s="53"/>
      <c r="D185" s="54"/>
      <c r="E185" s="51"/>
      <c r="F185" s="59"/>
      <c r="G185" s="60"/>
      <c r="H185" s="22"/>
    </row>
    <row r="186" spans="1:8" ht="23.1" customHeight="1">
      <c r="A186" s="52" t="s">
        <v>300</v>
      </c>
      <c r="B186" s="7" t="s">
        <v>301</v>
      </c>
      <c r="C186" s="53" t="s">
        <v>302</v>
      </c>
      <c r="D186" s="54">
        <v>0</v>
      </c>
      <c r="E186" s="51">
        <v>0</v>
      </c>
      <c r="F186" s="59"/>
      <c r="G186" s="60"/>
      <c r="H186" s="22"/>
    </row>
    <row r="187" spans="1:8" ht="23.1" customHeight="1">
      <c r="A187" s="52"/>
      <c r="B187" s="8" t="s">
        <v>303</v>
      </c>
      <c r="C187" s="53"/>
      <c r="D187" s="54"/>
      <c r="E187" s="51"/>
      <c r="F187" s="59"/>
      <c r="G187" s="60"/>
      <c r="H187" s="22"/>
    </row>
    <row r="188" spans="1:8" ht="23.1" customHeight="1">
      <c r="A188" s="52" t="s">
        <v>304</v>
      </c>
      <c r="B188" s="7" t="s">
        <v>305</v>
      </c>
      <c r="C188" s="53" t="s">
        <v>306</v>
      </c>
      <c r="D188" s="54" t="s">
        <v>385</v>
      </c>
      <c r="E188" s="54" t="s">
        <v>385</v>
      </c>
      <c r="F188" s="59"/>
      <c r="G188" s="60"/>
      <c r="H188" s="22"/>
    </row>
    <row r="189" spans="1:8" ht="23.1" customHeight="1">
      <c r="A189" s="52"/>
      <c r="B189" s="8" t="s">
        <v>307</v>
      </c>
      <c r="C189" s="53"/>
      <c r="D189" s="54"/>
      <c r="E189" s="54"/>
      <c r="F189" s="59"/>
      <c r="G189" s="60"/>
      <c r="H189" s="22"/>
    </row>
    <row r="190" spans="1:8" ht="23.1" customHeight="1">
      <c r="A190" s="52" t="s">
        <v>308</v>
      </c>
      <c r="B190" s="7" t="s">
        <v>309</v>
      </c>
      <c r="C190" s="53" t="s">
        <v>310</v>
      </c>
      <c r="D190" s="54">
        <v>0</v>
      </c>
      <c r="E190" s="51">
        <v>0</v>
      </c>
      <c r="F190" s="59"/>
      <c r="G190" s="60"/>
      <c r="H190" s="22"/>
    </row>
    <row r="191" spans="1:8" ht="23.1" customHeight="1">
      <c r="A191" s="52"/>
      <c r="B191" s="8" t="s">
        <v>311</v>
      </c>
      <c r="C191" s="53"/>
      <c r="D191" s="54"/>
      <c r="E191" s="51"/>
      <c r="F191" s="59"/>
      <c r="G191" s="60"/>
      <c r="H191" s="22"/>
    </row>
    <row r="192" spans="1:8" ht="23.1" customHeight="1">
      <c r="A192" s="52" t="s">
        <v>312</v>
      </c>
      <c r="B192" s="7" t="s">
        <v>313</v>
      </c>
      <c r="C192" s="53" t="s">
        <v>314</v>
      </c>
      <c r="D192" s="54">
        <v>0</v>
      </c>
      <c r="E192" s="51">
        <v>0</v>
      </c>
      <c r="F192" s="59"/>
      <c r="G192" s="60"/>
      <c r="H192" s="22"/>
    </row>
    <row r="193" spans="1:8" ht="23.1" customHeight="1">
      <c r="A193" s="52"/>
      <c r="B193" s="8" t="s">
        <v>315</v>
      </c>
      <c r="C193" s="53"/>
      <c r="D193" s="54"/>
      <c r="E193" s="51"/>
      <c r="F193" s="59"/>
      <c r="G193" s="60"/>
      <c r="H193" s="22"/>
    </row>
    <row r="194" spans="1:8" ht="23.1" customHeight="1">
      <c r="A194" s="52" t="s">
        <v>316</v>
      </c>
      <c r="B194" s="7" t="s">
        <v>317</v>
      </c>
      <c r="C194" s="53" t="s">
        <v>318</v>
      </c>
      <c r="D194" s="54">
        <v>0</v>
      </c>
      <c r="E194" s="51">
        <v>0</v>
      </c>
      <c r="F194" s="59"/>
      <c r="G194" s="60"/>
      <c r="H194" s="22"/>
    </row>
    <row r="195" spans="1:8" ht="23.1" customHeight="1">
      <c r="A195" s="52"/>
      <c r="B195" s="8" t="s">
        <v>319</v>
      </c>
      <c r="C195" s="53"/>
      <c r="D195" s="54"/>
      <c r="E195" s="51"/>
      <c r="F195" s="59"/>
      <c r="G195" s="60"/>
      <c r="H195" s="22"/>
    </row>
    <row r="196" spans="1:8" ht="23.1" customHeight="1">
      <c r="A196" s="52" t="s">
        <v>320</v>
      </c>
      <c r="B196" s="24" t="s">
        <v>357</v>
      </c>
      <c r="C196" s="53" t="s">
        <v>321</v>
      </c>
      <c r="D196" s="54" t="s">
        <v>385</v>
      </c>
      <c r="E196" s="54" t="s">
        <v>385</v>
      </c>
      <c r="F196" s="59"/>
      <c r="G196" s="60"/>
      <c r="H196" s="22"/>
    </row>
    <row r="197" spans="1:8" ht="23.1" customHeight="1">
      <c r="A197" s="52"/>
      <c r="B197" s="13" t="s">
        <v>346</v>
      </c>
      <c r="C197" s="53"/>
      <c r="D197" s="54"/>
      <c r="E197" s="54"/>
      <c r="F197" s="59"/>
      <c r="G197" s="60"/>
      <c r="H197" s="22"/>
    </row>
    <row r="198" spans="1:8" ht="23.1" customHeight="1">
      <c r="A198" s="52" t="s">
        <v>322</v>
      </c>
      <c r="B198" s="7" t="s">
        <v>323</v>
      </c>
      <c r="C198" s="53" t="s">
        <v>324</v>
      </c>
      <c r="D198" s="54">
        <v>0</v>
      </c>
      <c r="E198" s="51">
        <v>0</v>
      </c>
      <c r="F198" s="59"/>
      <c r="G198" s="60"/>
      <c r="H198" s="22"/>
    </row>
    <row r="199" spans="1:8" ht="23.1" customHeight="1">
      <c r="A199" s="52"/>
      <c r="B199" s="8" t="s">
        <v>325</v>
      </c>
      <c r="C199" s="53"/>
      <c r="D199" s="54"/>
      <c r="E199" s="51"/>
      <c r="F199" s="59"/>
      <c r="G199" s="60"/>
      <c r="H199" s="22"/>
    </row>
    <row r="200" spans="1:8" ht="23.1" customHeight="1">
      <c r="A200" s="52" t="s">
        <v>326</v>
      </c>
      <c r="B200" s="7" t="s">
        <v>327</v>
      </c>
      <c r="C200" s="53" t="s">
        <v>328</v>
      </c>
      <c r="D200" s="54">
        <v>0</v>
      </c>
      <c r="E200" s="51">
        <v>0</v>
      </c>
      <c r="F200" s="59"/>
      <c r="G200" s="60"/>
      <c r="H200" s="22"/>
    </row>
    <row r="201" spans="1:8" ht="23.1" customHeight="1">
      <c r="A201" s="52"/>
      <c r="B201" s="8" t="s">
        <v>329</v>
      </c>
      <c r="C201" s="53"/>
      <c r="D201" s="54"/>
      <c r="E201" s="51"/>
      <c r="F201" s="59"/>
      <c r="G201" s="60"/>
      <c r="H201" s="22"/>
    </row>
    <row r="202" spans="1:8" ht="23.1" customHeight="1">
      <c r="A202" s="52" t="s">
        <v>330</v>
      </c>
      <c r="B202" s="7" t="s">
        <v>331</v>
      </c>
      <c r="C202" s="53" t="s">
        <v>332</v>
      </c>
      <c r="D202" s="54">
        <v>0</v>
      </c>
      <c r="E202" s="51">
        <v>0</v>
      </c>
      <c r="F202" s="59"/>
      <c r="G202" s="60"/>
      <c r="H202" s="22"/>
    </row>
    <row r="203" spans="1:8" ht="23.1" customHeight="1">
      <c r="A203" s="52"/>
      <c r="B203" s="8" t="s">
        <v>333</v>
      </c>
      <c r="C203" s="53"/>
      <c r="D203" s="54"/>
      <c r="E203" s="51"/>
      <c r="F203" s="59"/>
      <c r="G203" s="60"/>
      <c r="H203" s="22"/>
    </row>
    <row r="204" spans="1:8" ht="23.1" customHeight="1">
      <c r="A204" s="52" t="s">
        <v>334</v>
      </c>
      <c r="B204" s="7" t="s">
        <v>335</v>
      </c>
      <c r="C204" s="53" t="s">
        <v>336</v>
      </c>
      <c r="D204" s="54">
        <v>0</v>
      </c>
      <c r="E204" s="51">
        <v>0</v>
      </c>
      <c r="F204" s="59"/>
      <c r="G204" s="60"/>
      <c r="H204" s="22"/>
    </row>
    <row r="205" spans="1:8" ht="23.1" customHeight="1">
      <c r="A205" s="52"/>
      <c r="B205" s="8" t="s">
        <v>337</v>
      </c>
      <c r="C205" s="53"/>
      <c r="D205" s="54"/>
      <c r="E205" s="51"/>
      <c r="F205" s="59"/>
      <c r="G205" s="60"/>
      <c r="H205" s="22"/>
    </row>
    <row r="206" spans="1:8" ht="23.1" customHeight="1">
      <c r="A206" s="68" t="s">
        <v>338</v>
      </c>
      <c r="B206" s="5" t="s">
        <v>339</v>
      </c>
      <c r="C206" s="69" t="s">
        <v>340</v>
      </c>
      <c r="D206" s="70" t="s">
        <v>385</v>
      </c>
      <c r="E206" s="70" t="s">
        <v>385</v>
      </c>
      <c r="F206" s="55"/>
      <c r="G206" s="56"/>
      <c r="H206" s="22"/>
    </row>
    <row r="207" spans="1:8" ht="22.5" customHeight="1">
      <c r="A207" s="68"/>
      <c r="B207" s="6" t="s">
        <v>341</v>
      </c>
      <c r="C207" s="69"/>
      <c r="D207" s="70"/>
      <c r="E207" s="70"/>
      <c r="F207" s="55"/>
      <c r="G207" s="56"/>
      <c r="H207" s="22"/>
    </row>
    <row r="208" spans="1:8" ht="12.75" customHeight="1">
      <c r="A208" s="84"/>
      <c r="B208" s="85"/>
      <c r="C208" s="85"/>
      <c r="D208" s="85"/>
      <c r="E208" s="86"/>
      <c r="F208" s="20">
        <f>D140+D166-D206</f>
        <v>0</v>
      </c>
      <c r="G208" s="32">
        <f>E140+E166-E206</f>
        <v>0</v>
      </c>
      <c r="H208" s="22"/>
    </row>
    <row r="209" spans="1:10" ht="23.1" customHeight="1">
      <c r="A209" s="62" t="s">
        <v>342</v>
      </c>
      <c r="B209" s="11" t="s">
        <v>343</v>
      </c>
      <c r="C209" s="64" t="s">
        <v>344</v>
      </c>
      <c r="D209" s="66" t="s">
        <v>385</v>
      </c>
      <c r="E209" s="66" t="s">
        <v>385</v>
      </c>
      <c r="F209" s="57"/>
      <c r="G209" s="58"/>
      <c r="H209" s="22"/>
    </row>
    <row r="210" spans="1:10" ht="22.5" customHeight="1" thickBot="1">
      <c r="A210" s="63"/>
      <c r="B210" s="38" t="s">
        <v>345</v>
      </c>
      <c r="C210" s="65"/>
      <c r="D210" s="67"/>
      <c r="E210" s="67"/>
      <c r="F210" s="57"/>
      <c r="G210" s="58"/>
      <c r="H210" s="22"/>
    </row>
    <row r="211" spans="1:10" ht="12.75" customHeight="1">
      <c r="A211" s="107"/>
      <c r="B211" s="107"/>
      <c r="C211" s="107"/>
      <c r="D211" s="107"/>
      <c r="E211" s="108"/>
      <c r="F211" s="32">
        <f>D135+D206-D209</f>
        <v>0</v>
      </c>
      <c r="G211" s="32">
        <f>E135+E206-E209</f>
        <v>0</v>
      </c>
      <c r="H211" s="22"/>
      <c r="I211" s="23"/>
      <c r="J211" s="23"/>
    </row>
    <row r="212" spans="1:10" ht="12.75" customHeight="1">
      <c r="A212" s="33"/>
      <c r="B212" s="34" t="s">
        <v>349</v>
      </c>
      <c r="C212" s="33"/>
      <c r="D212" s="35">
        <f>D114-D209</f>
        <v>0</v>
      </c>
      <c r="E212" s="35">
        <f>E114-E209</f>
        <v>0</v>
      </c>
      <c r="F212" s="35"/>
      <c r="G212" s="35"/>
      <c r="H212" s="21"/>
      <c r="I212" s="21"/>
      <c r="J212" s="21"/>
    </row>
    <row r="213" spans="1:10" ht="15.95" customHeight="1">
      <c r="A213" s="45" t="s">
        <v>355</v>
      </c>
      <c r="B213" s="61"/>
      <c r="C213" s="46" t="s">
        <v>382</v>
      </c>
      <c r="D213" s="46"/>
      <c r="E213" s="46"/>
      <c r="F213" s="27"/>
      <c r="G213" s="27"/>
      <c r="H213" s="27"/>
    </row>
    <row r="214" spans="1:10" ht="15.95" customHeight="1">
      <c r="A214" s="45" t="s">
        <v>353</v>
      </c>
      <c r="B214" s="46"/>
      <c r="C214" s="46" t="s">
        <v>383</v>
      </c>
      <c r="D214" s="46"/>
      <c r="E214" s="46"/>
      <c r="F214" s="27"/>
      <c r="G214" s="27"/>
      <c r="H214" s="27"/>
    </row>
    <row r="215" spans="1:10" ht="15.95" customHeight="1">
      <c r="A215" s="45" t="s">
        <v>354</v>
      </c>
      <c r="B215" s="46"/>
      <c r="C215" s="46" t="s">
        <v>384</v>
      </c>
      <c r="D215" s="46"/>
      <c r="E215" s="46"/>
      <c r="F215" s="27"/>
      <c r="G215" s="27"/>
      <c r="H215" s="27"/>
    </row>
    <row r="216" spans="1:10">
      <c r="A216" s="39" t="s">
        <v>377</v>
      </c>
    </row>
  </sheetData>
  <mergeCells count="575">
    <mergeCell ref="A2:D2"/>
    <mergeCell ref="F117:G118"/>
    <mergeCell ref="A117:A118"/>
    <mergeCell ref="A145:E145"/>
    <mergeCell ref="A168:E168"/>
    <mergeCell ref="A171:E171"/>
    <mergeCell ref="A208:E208"/>
    <mergeCell ref="A211:E211"/>
    <mergeCell ref="F196:F197"/>
    <mergeCell ref="G196:G197"/>
    <mergeCell ref="F198:F199"/>
    <mergeCell ref="G198:G199"/>
    <mergeCell ref="F200:F201"/>
    <mergeCell ref="G200:G201"/>
    <mergeCell ref="F202:F203"/>
    <mergeCell ref="G202:G203"/>
    <mergeCell ref="F176:F177"/>
    <mergeCell ref="G176:G177"/>
    <mergeCell ref="F178:F179"/>
    <mergeCell ref="G178:G179"/>
    <mergeCell ref="F192:F193"/>
    <mergeCell ref="G192:G193"/>
    <mergeCell ref="F194:F195"/>
    <mergeCell ref="G194:G195"/>
    <mergeCell ref="E35:E36"/>
    <mergeCell ref="E37:E38"/>
    <mergeCell ref="C35:C36"/>
    <mergeCell ref="E56:E57"/>
    <mergeCell ref="E8:E9"/>
    <mergeCell ref="D8:D9"/>
    <mergeCell ref="C8:C9"/>
    <mergeCell ref="B8:B9"/>
    <mergeCell ref="D12:D13"/>
    <mergeCell ref="E39:E40"/>
    <mergeCell ref="D35:D36"/>
    <mergeCell ref="A71:A72"/>
    <mergeCell ref="C71:C72"/>
    <mergeCell ref="D71:D72"/>
    <mergeCell ref="E67:E68"/>
    <mergeCell ref="E69:E70"/>
    <mergeCell ref="E71:E72"/>
    <mergeCell ref="E41:E42"/>
    <mergeCell ref="E43:E44"/>
    <mergeCell ref="E45:E46"/>
    <mergeCell ref="C65:C66"/>
    <mergeCell ref="D47:D48"/>
    <mergeCell ref="A41:A42"/>
    <mergeCell ref="C41:C42"/>
    <mergeCell ref="D41:D42"/>
    <mergeCell ref="A43:A44"/>
    <mergeCell ref="C43:C44"/>
    <mergeCell ref="D43:D44"/>
    <mergeCell ref="A45:A46"/>
    <mergeCell ref="C45:C46"/>
    <mergeCell ref="D45:D46"/>
    <mergeCell ref="A47:A48"/>
    <mergeCell ref="C47:C48"/>
    <mergeCell ref="E47:E48"/>
    <mergeCell ref="D67:D68"/>
    <mergeCell ref="F154:F155"/>
    <mergeCell ref="G154:G155"/>
    <mergeCell ref="F156:F157"/>
    <mergeCell ref="G156:G157"/>
    <mergeCell ref="F158:F159"/>
    <mergeCell ref="C215:E215"/>
    <mergeCell ref="A73:E73"/>
    <mergeCell ref="A98:E98"/>
    <mergeCell ref="A113:E113"/>
    <mergeCell ref="A116:E116"/>
    <mergeCell ref="A137:E137"/>
    <mergeCell ref="A142:E142"/>
    <mergeCell ref="G169:G170"/>
    <mergeCell ref="G158:G159"/>
    <mergeCell ref="F160:F161"/>
    <mergeCell ref="G160:G161"/>
    <mergeCell ref="F162:F163"/>
    <mergeCell ref="G162:G163"/>
    <mergeCell ref="F164:F165"/>
    <mergeCell ref="G164:G165"/>
    <mergeCell ref="F166:G167"/>
    <mergeCell ref="F129:F130"/>
    <mergeCell ref="G129:G130"/>
    <mergeCell ref="F131:F132"/>
    <mergeCell ref="F143:F144"/>
    <mergeCell ref="G143:G144"/>
    <mergeCell ref="F146:F147"/>
    <mergeCell ref="G146:G147"/>
    <mergeCell ref="F148:F149"/>
    <mergeCell ref="G148:G149"/>
    <mergeCell ref="F150:F151"/>
    <mergeCell ref="G150:G151"/>
    <mergeCell ref="F152:F153"/>
    <mergeCell ref="G152:G153"/>
    <mergeCell ref="F186:F187"/>
    <mergeCell ref="G186:G187"/>
    <mergeCell ref="F188:F189"/>
    <mergeCell ref="G188:G189"/>
    <mergeCell ref="F190:F191"/>
    <mergeCell ref="G190:G191"/>
    <mergeCell ref="F180:F181"/>
    <mergeCell ref="G180:G181"/>
    <mergeCell ref="F169:F170"/>
    <mergeCell ref="F172:F173"/>
    <mergeCell ref="G172:G173"/>
    <mergeCell ref="F174:F175"/>
    <mergeCell ref="G174:G175"/>
    <mergeCell ref="F182:F183"/>
    <mergeCell ref="G182:G183"/>
    <mergeCell ref="F184:F185"/>
    <mergeCell ref="G184:G185"/>
    <mergeCell ref="F135:G136"/>
    <mergeCell ref="F138:G139"/>
    <mergeCell ref="F140:G141"/>
    <mergeCell ref="F119:G120"/>
    <mergeCell ref="F121:F122"/>
    <mergeCell ref="G121:G122"/>
    <mergeCell ref="F123:F124"/>
    <mergeCell ref="G123:G124"/>
    <mergeCell ref="F125:F126"/>
    <mergeCell ref="G125:G126"/>
    <mergeCell ref="F127:F128"/>
    <mergeCell ref="G127:G128"/>
    <mergeCell ref="G131:G132"/>
    <mergeCell ref="F133:F134"/>
    <mergeCell ref="G133:G134"/>
    <mergeCell ref="F111:G112"/>
    <mergeCell ref="F114:G115"/>
    <mergeCell ref="F94:F95"/>
    <mergeCell ref="G94:G95"/>
    <mergeCell ref="F96:G97"/>
    <mergeCell ref="F99:F100"/>
    <mergeCell ref="G99:G100"/>
    <mergeCell ref="F101:F102"/>
    <mergeCell ref="G101:G102"/>
    <mergeCell ref="F103:F104"/>
    <mergeCell ref="G103:G104"/>
    <mergeCell ref="F90:F91"/>
    <mergeCell ref="G90:G91"/>
    <mergeCell ref="F92:F93"/>
    <mergeCell ref="G92:G93"/>
    <mergeCell ref="F105:F106"/>
    <mergeCell ref="G105:G106"/>
    <mergeCell ref="F107:F108"/>
    <mergeCell ref="G107:G108"/>
    <mergeCell ref="F109:F110"/>
    <mergeCell ref="G109:G110"/>
    <mergeCell ref="F80:F81"/>
    <mergeCell ref="G80:G81"/>
    <mergeCell ref="F82:F83"/>
    <mergeCell ref="G82:G83"/>
    <mergeCell ref="F84:F85"/>
    <mergeCell ref="G84:G85"/>
    <mergeCell ref="F86:F87"/>
    <mergeCell ref="G86:G87"/>
    <mergeCell ref="F88:F89"/>
    <mergeCell ref="G88:G89"/>
    <mergeCell ref="F69:F70"/>
    <mergeCell ref="G69:G70"/>
    <mergeCell ref="F71:G72"/>
    <mergeCell ref="F74:F75"/>
    <mergeCell ref="G74:G75"/>
    <mergeCell ref="F76:F77"/>
    <mergeCell ref="G76:G77"/>
    <mergeCell ref="F78:F79"/>
    <mergeCell ref="G78:G79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45:F46"/>
    <mergeCell ref="G45:G46"/>
    <mergeCell ref="F47:F48"/>
    <mergeCell ref="G47:G48"/>
    <mergeCell ref="F49:F50"/>
    <mergeCell ref="G49:G50"/>
    <mergeCell ref="F51:G52"/>
    <mergeCell ref="F54:G55"/>
    <mergeCell ref="F56:G57"/>
    <mergeCell ref="F35:F36"/>
    <mergeCell ref="G35:G36"/>
    <mergeCell ref="F37:F38"/>
    <mergeCell ref="G37:G38"/>
    <mergeCell ref="F39:F40"/>
    <mergeCell ref="G39:G40"/>
    <mergeCell ref="F41:F42"/>
    <mergeCell ref="G41:G42"/>
    <mergeCell ref="F43:F44"/>
    <mergeCell ref="G43:G44"/>
    <mergeCell ref="F27:F28"/>
    <mergeCell ref="G27:G28"/>
    <mergeCell ref="F30:G31"/>
    <mergeCell ref="F33:F34"/>
    <mergeCell ref="G33:G34"/>
    <mergeCell ref="D33:D34"/>
    <mergeCell ref="F16:F17"/>
    <mergeCell ref="G16:G17"/>
    <mergeCell ref="F18:F19"/>
    <mergeCell ref="G18:G19"/>
    <mergeCell ref="F21:G22"/>
    <mergeCell ref="F23:F24"/>
    <mergeCell ref="G23:G24"/>
    <mergeCell ref="E27:E28"/>
    <mergeCell ref="E30:E31"/>
    <mergeCell ref="A29:E29"/>
    <mergeCell ref="D18:D19"/>
    <mergeCell ref="A21:A22"/>
    <mergeCell ref="C21:C22"/>
    <mergeCell ref="D21:D22"/>
    <mergeCell ref="C23:C24"/>
    <mergeCell ref="D23:D24"/>
    <mergeCell ref="A25:A26"/>
    <mergeCell ref="E33:E34"/>
    <mergeCell ref="A6:A7"/>
    <mergeCell ref="A8:A9"/>
    <mergeCell ref="F25:F26"/>
    <mergeCell ref="F8:G9"/>
    <mergeCell ref="C14:C15"/>
    <mergeCell ref="D14:D15"/>
    <mergeCell ref="E10:E11"/>
    <mergeCell ref="E12:E13"/>
    <mergeCell ref="E14:E15"/>
    <mergeCell ref="F6:G7"/>
    <mergeCell ref="F10:G11"/>
    <mergeCell ref="F12:G13"/>
    <mergeCell ref="F14:F15"/>
    <mergeCell ref="G14:G15"/>
    <mergeCell ref="A23:A24"/>
    <mergeCell ref="A14:A15"/>
    <mergeCell ref="A18:A19"/>
    <mergeCell ref="C18:C19"/>
    <mergeCell ref="G25:G26"/>
    <mergeCell ref="A10:A11"/>
    <mergeCell ref="C10:C11"/>
    <mergeCell ref="D10:D11"/>
    <mergeCell ref="A12:A13"/>
    <mergeCell ref="C12:C13"/>
    <mergeCell ref="A16:A17"/>
    <mergeCell ref="C16:C17"/>
    <mergeCell ref="D16:D17"/>
    <mergeCell ref="E16:E17"/>
    <mergeCell ref="E18:E19"/>
    <mergeCell ref="E21:E22"/>
    <mergeCell ref="A20:E20"/>
    <mergeCell ref="A27:A28"/>
    <mergeCell ref="C27:C28"/>
    <mergeCell ref="D27:D28"/>
    <mergeCell ref="A30:A31"/>
    <mergeCell ref="C30:C31"/>
    <mergeCell ref="D30:D31"/>
    <mergeCell ref="C25:C26"/>
    <mergeCell ref="D25:D26"/>
    <mergeCell ref="E23:E24"/>
    <mergeCell ref="E25:E26"/>
    <mergeCell ref="A32:E32"/>
    <mergeCell ref="A33:A34"/>
    <mergeCell ref="C33:C34"/>
    <mergeCell ref="A35:A36"/>
    <mergeCell ref="A37:A38"/>
    <mergeCell ref="C37:C38"/>
    <mergeCell ref="D37:D38"/>
    <mergeCell ref="A39:A40"/>
    <mergeCell ref="C39:C40"/>
    <mergeCell ref="D39:D40"/>
    <mergeCell ref="C61:C62"/>
    <mergeCell ref="D61:D62"/>
    <mergeCell ref="A54:A55"/>
    <mergeCell ref="C54:C55"/>
    <mergeCell ref="D54:D55"/>
    <mergeCell ref="A56:A57"/>
    <mergeCell ref="C56:C57"/>
    <mergeCell ref="D56:D57"/>
    <mergeCell ref="A69:A70"/>
    <mergeCell ref="C69:C70"/>
    <mergeCell ref="D69:D70"/>
    <mergeCell ref="E49:E50"/>
    <mergeCell ref="E51:E52"/>
    <mergeCell ref="E54:E55"/>
    <mergeCell ref="E59:E60"/>
    <mergeCell ref="E61:E62"/>
    <mergeCell ref="E63:E64"/>
    <mergeCell ref="E65:E66"/>
    <mergeCell ref="A49:A50"/>
    <mergeCell ref="C49:C50"/>
    <mergeCell ref="D49:D50"/>
    <mergeCell ref="A51:A52"/>
    <mergeCell ref="C51:C52"/>
    <mergeCell ref="D51:D52"/>
    <mergeCell ref="A53:E53"/>
    <mergeCell ref="A58:E58"/>
    <mergeCell ref="D65:D66"/>
    <mergeCell ref="A59:A60"/>
    <mergeCell ref="C59:C60"/>
    <mergeCell ref="D59:D60"/>
    <mergeCell ref="A61:A62"/>
    <mergeCell ref="E74:E75"/>
    <mergeCell ref="A63:A64"/>
    <mergeCell ref="C63:C64"/>
    <mergeCell ref="D63:D64"/>
    <mergeCell ref="A65:A66"/>
    <mergeCell ref="E88:E89"/>
    <mergeCell ref="E90:E91"/>
    <mergeCell ref="A80:A81"/>
    <mergeCell ref="C80:C81"/>
    <mergeCell ref="D80:D81"/>
    <mergeCell ref="A82:A83"/>
    <mergeCell ref="C82:C83"/>
    <mergeCell ref="D82:D83"/>
    <mergeCell ref="A76:A77"/>
    <mergeCell ref="C76:C77"/>
    <mergeCell ref="D76:D77"/>
    <mergeCell ref="A78:A79"/>
    <mergeCell ref="C78:C79"/>
    <mergeCell ref="D78:D79"/>
    <mergeCell ref="A74:A75"/>
    <mergeCell ref="C74:C75"/>
    <mergeCell ref="D74:D75"/>
    <mergeCell ref="A67:A68"/>
    <mergeCell ref="C67:C68"/>
    <mergeCell ref="A92:A93"/>
    <mergeCell ref="C92:C93"/>
    <mergeCell ref="D92:D93"/>
    <mergeCell ref="A94:A95"/>
    <mergeCell ref="C94:C95"/>
    <mergeCell ref="D94:D95"/>
    <mergeCell ref="E76:E77"/>
    <mergeCell ref="E78:E79"/>
    <mergeCell ref="E80:E81"/>
    <mergeCell ref="E82:E83"/>
    <mergeCell ref="A88:A89"/>
    <mergeCell ref="C88:C89"/>
    <mergeCell ref="D88:D89"/>
    <mergeCell ref="A90:A91"/>
    <mergeCell ref="C90:C91"/>
    <mergeCell ref="D90:D91"/>
    <mergeCell ref="A84:A85"/>
    <mergeCell ref="C84:C85"/>
    <mergeCell ref="D84:D85"/>
    <mergeCell ref="A86:A87"/>
    <mergeCell ref="C86:C87"/>
    <mergeCell ref="D86:D87"/>
    <mergeCell ref="E84:E85"/>
    <mergeCell ref="E86:E87"/>
    <mergeCell ref="E101:E102"/>
    <mergeCell ref="E103:E104"/>
    <mergeCell ref="E105:E106"/>
    <mergeCell ref="E107:E108"/>
    <mergeCell ref="A96:A97"/>
    <mergeCell ref="C96:C97"/>
    <mergeCell ref="D96:D97"/>
    <mergeCell ref="A99:A100"/>
    <mergeCell ref="C99:C100"/>
    <mergeCell ref="D99:D100"/>
    <mergeCell ref="D109:D110"/>
    <mergeCell ref="A111:A112"/>
    <mergeCell ref="C111:C112"/>
    <mergeCell ref="D111:D112"/>
    <mergeCell ref="B117:B118"/>
    <mergeCell ref="C117:C118"/>
    <mergeCell ref="D117:D118"/>
    <mergeCell ref="E117:E118"/>
    <mergeCell ref="E92:E93"/>
    <mergeCell ref="E94:E95"/>
    <mergeCell ref="E96:E97"/>
    <mergeCell ref="E99:E100"/>
    <mergeCell ref="A105:A106"/>
    <mergeCell ref="C105:C106"/>
    <mergeCell ref="D105:D106"/>
    <mergeCell ref="A107:A108"/>
    <mergeCell ref="C107:C108"/>
    <mergeCell ref="D107:D108"/>
    <mergeCell ref="A101:A102"/>
    <mergeCell ref="C101:C102"/>
    <mergeCell ref="D101:D102"/>
    <mergeCell ref="A103:A104"/>
    <mergeCell ref="C103:C104"/>
    <mergeCell ref="D103:D104"/>
    <mergeCell ref="E109:E110"/>
    <mergeCell ref="E111:E112"/>
    <mergeCell ref="E114:E115"/>
    <mergeCell ref="A123:A124"/>
    <mergeCell ref="C123:C124"/>
    <mergeCell ref="D123:D124"/>
    <mergeCell ref="A125:A126"/>
    <mergeCell ref="C125:C126"/>
    <mergeCell ref="D125:D126"/>
    <mergeCell ref="A119:A120"/>
    <mergeCell ref="C119:C120"/>
    <mergeCell ref="D119:D120"/>
    <mergeCell ref="A121:A122"/>
    <mergeCell ref="C121:C122"/>
    <mergeCell ref="D121:D122"/>
    <mergeCell ref="E119:E120"/>
    <mergeCell ref="E121:E122"/>
    <mergeCell ref="E123:E124"/>
    <mergeCell ref="E125:E126"/>
    <mergeCell ref="A114:A115"/>
    <mergeCell ref="C114:C115"/>
    <mergeCell ref="D114:D115"/>
    <mergeCell ref="A109:A110"/>
    <mergeCell ref="C109:C110"/>
    <mergeCell ref="E140:E141"/>
    <mergeCell ref="E143:E144"/>
    <mergeCell ref="A131:A132"/>
    <mergeCell ref="C131:C132"/>
    <mergeCell ref="D131:D132"/>
    <mergeCell ref="A133:A134"/>
    <mergeCell ref="C133:C134"/>
    <mergeCell ref="D133:D134"/>
    <mergeCell ref="A127:A128"/>
    <mergeCell ref="C127:C128"/>
    <mergeCell ref="D127:D128"/>
    <mergeCell ref="A129:A130"/>
    <mergeCell ref="C129:C130"/>
    <mergeCell ref="D129:D130"/>
    <mergeCell ref="A146:A147"/>
    <mergeCell ref="C146:C147"/>
    <mergeCell ref="D146:D147"/>
    <mergeCell ref="A148:A149"/>
    <mergeCell ref="C148:C149"/>
    <mergeCell ref="D148:D149"/>
    <mergeCell ref="E127:E128"/>
    <mergeCell ref="E129:E130"/>
    <mergeCell ref="E131:E132"/>
    <mergeCell ref="E133:E134"/>
    <mergeCell ref="A140:A141"/>
    <mergeCell ref="C140:C141"/>
    <mergeCell ref="D140:D141"/>
    <mergeCell ref="A143:A144"/>
    <mergeCell ref="C143:C144"/>
    <mergeCell ref="D143:D144"/>
    <mergeCell ref="A135:A136"/>
    <mergeCell ref="C135:C136"/>
    <mergeCell ref="D135:D136"/>
    <mergeCell ref="A138:A139"/>
    <mergeCell ref="C138:C139"/>
    <mergeCell ref="D138:D139"/>
    <mergeCell ref="E135:E136"/>
    <mergeCell ref="E138:E139"/>
    <mergeCell ref="E154:E155"/>
    <mergeCell ref="E156:E157"/>
    <mergeCell ref="E158:E159"/>
    <mergeCell ref="E160:E161"/>
    <mergeCell ref="A150:A151"/>
    <mergeCell ref="C150:C151"/>
    <mergeCell ref="D150:D151"/>
    <mergeCell ref="A152:A153"/>
    <mergeCell ref="C152:C153"/>
    <mergeCell ref="D152:D153"/>
    <mergeCell ref="C169:C170"/>
    <mergeCell ref="D169:D170"/>
    <mergeCell ref="A162:A163"/>
    <mergeCell ref="C162:C163"/>
    <mergeCell ref="D162:D163"/>
    <mergeCell ref="A164:A165"/>
    <mergeCell ref="C164:C165"/>
    <mergeCell ref="D164:D165"/>
    <mergeCell ref="E146:E147"/>
    <mergeCell ref="E148:E149"/>
    <mergeCell ref="E150:E151"/>
    <mergeCell ref="E152:E153"/>
    <mergeCell ref="A158:A159"/>
    <mergeCell ref="C158:C159"/>
    <mergeCell ref="D158:D159"/>
    <mergeCell ref="A160:A161"/>
    <mergeCell ref="C160:C161"/>
    <mergeCell ref="D160:D161"/>
    <mergeCell ref="A154:A155"/>
    <mergeCell ref="C154:C155"/>
    <mergeCell ref="D154:D155"/>
    <mergeCell ref="A156:A157"/>
    <mergeCell ref="C156:C157"/>
    <mergeCell ref="D156:D157"/>
    <mergeCell ref="E162:E163"/>
    <mergeCell ref="E164:E165"/>
    <mergeCell ref="E166:E167"/>
    <mergeCell ref="E169:E170"/>
    <mergeCell ref="A176:A177"/>
    <mergeCell ref="C176:C177"/>
    <mergeCell ref="D176:D177"/>
    <mergeCell ref="A178:A179"/>
    <mergeCell ref="C178:C179"/>
    <mergeCell ref="D178:D179"/>
    <mergeCell ref="A172:A173"/>
    <mergeCell ref="C172:C173"/>
    <mergeCell ref="D172:D173"/>
    <mergeCell ref="A174:A175"/>
    <mergeCell ref="C174:C175"/>
    <mergeCell ref="D174:D175"/>
    <mergeCell ref="E172:E173"/>
    <mergeCell ref="E174:E175"/>
    <mergeCell ref="E176:E177"/>
    <mergeCell ref="E178:E179"/>
    <mergeCell ref="A166:A167"/>
    <mergeCell ref="C166:C167"/>
    <mergeCell ref="D166:D167"/>
    <mergeCell ref="A169:A170"/>
    <mergeCell ref="E192:E193"/>
    <mergeCell ref="E194:E195"/>
    <mergeCell ref="A184:A185"/>
    <mergeCell ref="C184:C185"/>
    <mergeCell ref="D184:D185"/>
    <mergeCell ref="A186:A187"/>
    <mergeCell ref="C186:C187"/>
    <mergeCell ref="D186:D187"/>
    <mergeCell ref="A180:A181"/>
    <mergeCell ref="C180:C181"/>
    <mergeCell ref="D180:D181"/>
    <mergeCell ref="A182:A183"/>
    <mergeCell ref="C182:C183"/>
    <mergeCell ref="D182:D183"/>
    <mergeCell ref="E182:E183"/>
    <mergeCell ref="E184:E185"/>
    <mergeCell ref="D204:D205"/>
    <mergeCell ref="A206:A207"/>
    <mergeCell ref="C206:C207"/>
    <mergeCell ref="D206:D207"/>
    <mergeCell ref="C213:E213"/>
    <mergeCell ref="C214:E214"/>
    <mergeCell ref="E204:E205"/>
    <mergeCell ref="E206:E207"/>
    <mergeCell ref="E209:E210"/>
    <mergeCell ref="F206:G207"/>
    <mergeCell ref="F209:G210"/>
    <mergeCell ref="F204:F205"/>
    <mergeCell ref="G204:G205"/>
    <mergeCell ref="A213:B213"/>
    <mergeCell ref="E186:E187"/>
    <mergeCell ref="A192:A193"/>
    <mergeCell ref="C192:C193"/>
    <mergeCell ref="D192:D193"/>
    <mergeCell ref="A194:A195"/>
    <mergeCell ref="C194:C195"/>
    <mergeCell ref="D194:D195"/>
    <mergeCell ref="A188:A189"/>
    <mergeCell ref="C188:C189"/>
    <mergeCell ref="D188:D189"/>
    <mergeCell ref="A190:A191"/>
    <mergeCell ref="C190:C191"/>
    <mergeCell ref="D190:D191"/>
    <mergeCell ref="E188:E189"/>
    <mergeCell ref="E190:E191"/>
    <mergeCell ref="A209:A210"/>
    <mergeCell ref="C209:C210"/>
    <mergeCell ref="D209:D210"/>
    <mergeCell ref="A204:A205"/>
    <mergeCell ref="A215:B215"/>
    <mergeCell ref="A3:B3"/>
    <mergeCell ref="A4:B4"/>
    <mergeCell ref="A5:B5"/>
    <mergeCell ref="A1:E1"/>
    <mergeCell ref="E196:E197"/>
    <mergeCell ref="E198:E199"/>
    <mergeCell ref="E200:E201"/>
    <mergeCell ref="E202:E203"/>
    <mergeCell ref="A200:A201"/>
    <mergeCell ref="C200:C201"/>
    <mergeCell ref="D200:D201"/>
    <mergeCell ref="A202:A203"/>
    <mergeCell ref="C202:C203"/>
    <mergeCell ref="D202:D203"/>
    <mergeCell ref="A196:A197"/>
    <mergeCell ref="C196:C197"/>
    <mergeCell ref="D196:D197"/>
    <mergeCell ref="A198:A199"/>
    <mergeCell ref="C198:C199"/>
    <mergeCell ref="D198:D199"/>
    <mergeCell ref="E180:E181"/>
    <mergeCell ref="A214:B214"/>
    <mergeCell ref="C204:C205"/>
  </mergeCells>
  <pageMargins left="0.59055118110236227" right="0" top="0.39370078740157483" bottom="0" header="0" footer="0"/>
  <pageSetup scale="80" orientation="landscape" r:id="rId1"/>
  <colBreaks count="1" manualBreakCount="1">
    <brk id="5" max="2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Balance</vt:lpstr>
      <vt:lpstr>JR_PAGE_ANCHOR_0_1</vt:lpstr>
      <vt:lpstr>Balance!Область_печати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2023-01-07T06:12:30Z</dcterms:created>
  <dcterms:modified xsi:type="dcterms:W3CDTF">2026-05-05T07:37:49Z</dcterms:modified>
</cp:coreProperties>
</file>