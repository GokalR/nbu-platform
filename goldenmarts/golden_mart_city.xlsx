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Инструкция" sheetId="1" state="visible" r:id="rId1"/>
    <sheet name="Глоссарий" sheetId="2" state="visible" r:id="rId2"/>
    <sheet name="Города и туман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7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11"/>
    </font>
    <font>
      <name val="Arial"/>
      <b val="1"/>
      <color rgb="FF1F4E79"/>
      <sz val="12"/>
    </font>
    <font>
      <name val="Arial"/>
      <b val="1"/>
      <color rgb="FF1F4E79"/>
      <sz val="14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i val="1"/>
      <color rgb="FF7F7F7F"/>
      <sz val="10"/>
    </font>
    <font>
      <name val="Arial"/>
      <b val="1"/>
      <color theme="1"/>
      <sz val="11"/>
    </font>
    <font>
      <name val="Arial"/>
      <color rgb="FF0000FF"/>
      <sz val="10"/>
    </font>
    <font>
      <name val="Arial"/>
      <b val="1"/>
      <color rgb="FF1F4E79"/>
      <sz val="11"/>
    </font>
    <font/>
    <font>
      <name val="Arial"/>
      <i val="1"/>
      <color rgb="FF806000"/>
      <sz val="10"/>
    </font>
    <font>
      <name val="Arial"/>
      <i val="1"/>
      <color rgb="FFA6A6A6"/>
      <sz val="10"/>
    </font>
    <font>
      <name val="Arial"/>
      <color rgb="FF2E7D32"/>
      <sz val="10"/>
    </font>
    <font>
      <name val="Arial"/>
      <i val="1"/>
      <color rgb="FF6A1B9A"/>
      <sz val="10"/>
    </font>
  </fonts>
  <fills count="9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D32"/>
        <bgColor rgb="FF2E7D3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8F5E9"/>
        <bgColor rgb="FFE8F5E9"/>
      </patternFill>
    </fill>
    <fill>
      <patternFill patternType="solid">
        <fgColor rgb="FFEDE7F6"/>
        <bgColor rgb="FFEDE7F6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0" borderId="3" pivotButton="0" quotePrefix="0" xfId="0"/>
    <xf numFmtId="0" fontId="12" fillId="0" borderId="4" pivotButton="0" quotePrefix="0" xfId="0"/>
    <xf numFmtId="0" fontId="7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3" fontId="15" fillId="7" borderId="1" applyAlignment="1" pivotButton="0" quotePrefix="0" xfId="0">
      <alignment horizontal="center" vertical="center" wrapText="1"/>
    </xf>
    <xf numFmtId="164" fontId="13" fillId="5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15" fillId="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bottom"/>
    </xf>
    <xf numFmtId="3" fontId="7" fillId="8" borderId="5" applyAlignment="1" pivotButton="0" quotePrefix="0" xfId="0">
      <alignment horizontal="center" vertical="bottom"/>
    </xf>
    <xf numFmtId="3" fontId="7" fillId="7" borderId="5" applyAlignment="1" pivotButton="0" quotePrefix="0" xfId="0">
      <alignment horizontal="center" vertical="bottom"/>
    </xf>
    <xf numFmtId="165" fontId="7" fillId="8" borderId="5" applyAlignment="1" pivotButton="0" quotePrefix="0" xfId="0">
      <alignment horizontal="center" vertical="bottom"/>
    </xf>
    <xf numFmtId="0" fontId="7" fillId="6" borderId="5" applyAlignment="1" pivotButton="0" quotePrefix="0" xfId="0">
      <alignment horizontal="center" vertical="bottom"/>
    </xf>
    <xf numFmtId="3" fontId="7" fillId="5" borderId="5" applyAlignment="1" pivotButton="0" quotePrefix="0" xfId="0">
      <alignment horizontal="center" vertical="bottom"/>
    </xf>
    <xf numFmtId="3" fontId="7" fillId="0" borderId="0" applyAlignment="1" pivotButton="0" quotePrefix="0" xfId="0">
      <alignment horizontal="center" vertical="bottom"/>
    </xf>
    <xf numFmtId="165" fontId="13" fillId="5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165" fontId="16" fillId="8" borderId="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left" vertical="bottom"/>
    </xf>
    <xf numFmtId="0" fontId="12" fillId="0" borderId="7" pivotButton="0" quotePrefix="0" xfId="0"/>
    <xf numFmtId="0" fontId="12" fillId="0" borderId="8" pivotButton="0" quotePrefix="0" xfId="0"/>
    <xf numFmtId="0" fontId="7" fillId="5" borderId="5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164" fontId="7" fillId="5" borderId="5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164" fontId="7" fillId="7" borderId="5" applyAlignment="1" pivotButton="0" quotePrefix="0" xfId="0">
      <alignment horizontal="center" vertical="bottom"/>
    </xf>
    <xf numFmtId="0" fontId="0" fillId="0" borderId="0" pivotButton="0" quotePrefix="0" xfId="0"/>
    <xf numFmtId="0" fontId="11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 wrapText="1"/>
    </xf>
    <xf numFmtId="3" fontId="13" fillId="5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15" fillId="7" borderId="1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lef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7" min="1" max="1"/>
    <col width="90" customWidth="1" style="47" min="2" max="2"/>
    <col width="8.710000000000001" customWidth="1" style="47" min="3" max="6"/>
  </cols>
  <sheetData>
    <row r="1">
      <c r="B1" s="1" t="n"/>
    </row>
    <row r="2" ht="19.5" customHeight="1" s="47">
      <c r="B2" s="2" t="inlineStr">
        <is>
          <t>Этот файл – шаблон для сбора данных по уровню «область».</t>
        </is>
      </c>
    </row>
    <row r="3" ht="19.5" customHeight="1" s="47">
      <c r="B3" s="2" t="inlineStr">
        <is>
          <t>Нужно заполнить значения за 2021–2025 годы и план на 2026.</t>
        </is>
      </c>
    </row>
    <row r="4" ht="19.5" customHeight="1" s="47">
      <c r="B4" s="3" t="n"/>
    </row>
    <row r="5" ht="19.5" customHeight="1" s="47">
      <c r="B5" s="4" t="inlineStr">
        <is>
          <t>Как заполнять</t>
        </is>
      </c>
    </row>
    <row r="6" ht="19.5" customHeight="1" s="47">
      <c r="B6" s="3" t="n"/>
    </row>
    <row r="7" ht="19.5" customHeight="1" s="47">
      <c r="B7" s="2" t="inlineStr">
        <is>
          <t>1.  Сверху листа укажите название (страна / область / город).</t>
        </is>
      </c>
    </row>
    <row r="8" ht="19.5" customHeight="1" s="47">
      <c r="B8" s="2" t="inlineStr">
        <is>
          <t>2.  Заполняйте только синие ячейки (2021–2025) и зелёные (план 2026).</t>
        </is>
      </c>
    </row>
    <row r="9" ht="19.5" customHeight="1" s="47">
      <c r="B9" s="2" t="inlineStr">
        <is>
          <t>3.  Жёлтая колонка «Пример» – не трогайте, это просто ориентир.</t>
        </is>
      </c>
    </row>
    <row r="10" ht="19.5" customHeight="1" s="47">
      <c r="B10" s="2" t="inlineStr">
        <is>
          <t>4.  Знак «—» в колонке плана означает, что план для этого показателя не нужен.</t>
        </is>
      </c>
    </row>
    <row r="11" ht="19.5" customHeight="1" s="47">
      <c r="B11" s="3" t="n"/>
    </row>
    <row r="12" ht="19.5" customHeight="1" s="47">
      <c r="B12" s="4" t="inlineStr">
        <is>
          <t>Несколько правил</t>
        </is>
      </c>
    </row>
    <row r="13" ht="19.5" customHeight="1" s="47">
      <c r="B13" s="3" t="n"/>
    </row>
    <row r="14" ht="19.5" customHeight="1" s="47">
      <c r="B14" s="2" t="inlineStr">
        <is>
          <t>•  Все суммы в сумах (на стране внешняя торговля – в USD, как обычно).</t>
        </is>
      </c>
    </row>
    <row r="15" ht="19.5" customHeight="1" s="47">
      <c r="B15" s="2" t="inlineStr">
        <is>
          <t>•  Дата – на 31 декабря каждого года.</t>
        </is>
      </c>
    </row>
    <row r="16" ht="19.5" customHeight="1" s="47">
      <c r="B16" s="2" t="inlineStr">
        <is>
          <t>•  Нет данных – пишите «н/д», а не 0.</t>
        </is>
      </c>
    </row>
    <row r="17" ht="19.5" customHeight="1" s="47">
      <c r="B17" s="2" t="inlineStr">
        <is>
          <t>•  Если непонятен термин – посмотрите лист «Глоссарий».</t>
        </is>
      </c>
    </row>
    <row r="18" ht="19.5" customHeight="1" s="47">
      <c r="B18" s="5" t="n"/>
    </row>
    <row r="19" ht="19.5" customHeight="1" s="47">
      <c r="B19" s="5" t="n"/>
    </row>
    <row r="20" ht="19.5" customHeight="1" s="47">
      <c r="B20" s="5" t="n"/>
    </row>
    <row r="21" ht="19.5" customHeight="1" s="47">
      <c r="B21" s="5" t="n"/>
    </row>
    <row r="22" ht="19.5" customHeight="1" s="47">
      <c r="B22" s="5" t="n"/>
    </row>
    <row r="23" ht="19.5" customHeight="1" s="47">
      <c r="B23" s="5" t="n"/>
    </row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" customWidth="1" style="47" min="1" max="1"/>
    <col width="38" customWidth="1" style="47" min="2" max="2"/>
    <col width="90" customWidth="1" style="47" min="3" max="3"/>
    <col width="8.710000000000001" customWidth="1" style="47" min="4" max="6"/>
  </cols>
  <sheetData>
    <row r="2">
      <c r="B2" s="6" t="inlineStr">
        <is>
          <t>Глоссарий</t>
        </is>
      </c>
    </row>
    <row r="4" ht="25.5" customHeight="1" s="47">
      <c r="B4" s="7" t="inlineStr">
        <is>
          <t>Термин</t>
        </is>
      </c>
      <c r="C4" s="7" t="inlineStr">
        <is>
          <t>Определение</t>
        </is>
      </c>
    </row>
    <row r="5" ht="30" customHeight="1" s="47">
      <c r="B5" s="8" t="inlineStr">
        <is>
          <t>ВВП</t>
        </is>
      </c>
      <c r="C5" s="9" t="inlineStr">
        <is>
          <t>Валовой внутренний продукт. Сумма стоимости всех товаров и услуг, произведённых на территории страны за год.</t>
        </is>
      </c>
    </row>
    <row r="6" ht="27.75" customHeight="1" s="47">
      <c r="B6" s="8" t="inlineStr">
        <is>
          <t>ВРП</t>
        </is>
      </c>
      <c r="C6" s="9" t="inlineStr">
        <is>
          <t>Валовой региональный продукт. То же, что ВВП, но в разрезе одной области.</t>
        </is>
      </c>
    </row>
    <row r="7" ht="30" customHeight="1" s="47">
      <c r="B7" s="8" t="inlineStr">
        <is>
          <t>ВТП</t>
        </is>
      </c>
      <c r="C7" s="9" t="inlineStr">
        <is>
          <t>Валовой территориальный продукт. То же, что ВВП, но в разрезе одного города или тумана.</t>
        </is>
      </c>
    </row>
    <row r="8" ht="27.75" customHeight="1" s="47">
      <c r="B8" s="8" t="inlineStr">
        <is>
          <t>Возрастная структура</t>
        </is>
      </c>
      <c r="C8" s="9" t="inlineStr">
        <is>
          <t>Распределение населения по группам: 0–14, 15–64, 65+ лет.</t>
        </is>
      </c>
    </row>
    <row r="9" ht="27.75" customHeight="1" s="47">
      <c r="B9" s="8" t="inlineStr">
        <is>
          <t>Дефицит бюджета</t>
        </is>
      </c>
      <c r="C9" s="9" t="inlineStr">
        <is>
          <t>Превышение расходов над доходами. Профицит – обратная ситуация.</t>
        </is>
      </c>
    </row>
    <row r="10" ht="27.75" customHeight="1" s="47">
      <c r="B10" s="8" t="inlineStr">
        <is>
          <t>Семья</t>
        </is>
      </c>
      <c r="C10" s="9" t="inlineStr">
        <is>
          <t>Лица, связанные родством или браком. Могут жить раздельно.</t>
        </is>
      </c>
    </row>
    <row r="11" ht="30" customHeight="1" s="47">
      <c r="B11" s="8" t="inlineStr">
        <is>
          <t>Домохозяйство</t>
        </is>
      </c>
      <c r="C11" s="9" t="inlineStr">
        <is>
          <t>Лица, живущие в одном жилье и ведущие общий быт. Один человек – тоже домохозяйство.</t>
        </is>
      </c>
    </row>
    <row r="12" ht="27.75" customHeight="1" s="47">
      <c r="B12" s="8" t="inlineStr">
        <is>
          <t>Активный субъект</t>
        </is>
      </c>
      <c r="C12" s="9" t="inlineStr">
        <is>
          <t>Юр. лицо или ИП, ведущий деятельность и сдающий отчётность.</t>
        </is>
      </c>
    </row>
    <row r="13" ht="27.75" customHeight="1" s="47">
      <c r="B13" s="8" t="inlineStr">
        <is>
          <t>МСБ</t>
        </is>
      </c>
      <c r="C13" s="9" t="inlineStr">
        <is>
          <t>Малый и средний бизнес по узбекскому законодательству.</t>
        </is>
      </c>
    </row>
    <row r="14" ht="27.75" customHeight="1" s="47">
      <c r="B14" s="8" t="inlineStr">
        <is>
          <t>ЯТТ</t>
        </is>
      </c>
      <c r="C14" s="9" t="inlineStr">
        <is>
          <t>Якка тартибдаги тадбиркор – индивидуальный предприниматель.</t>
        </is>
      </c>
    </row>
    <row r="15" ht="27.75" customHeight="1" s="47">
      <c r="B15" s="8" t="inlineStr">
        <is>
          <t>Предприятие-экспортёр</t>
        </is>
      </c>
      <c r="C15" s="9" t="inlineStr">
        <is>
          <t>Субъект, хотя бы раз осуществивший экспорт в отчётном году.</t>
        </is>
      </c>
    </row>
    <row r="16" ht="27.75" customHeight="1" s="47">
      <c r="B16" s="8" t="inlineStr">
        <is>
          <t>Экономически активное население</t>
        </is>
      </c>
      <c r="C16" s="9" t="inlineStr">
        <is>
          <t>Лица 15+ лет, работающие или ищущие работу.</t>
        </is>
      </c>
    </row>
    <row r="17" ht="27.75" customHeight="1" s="47">
      <c r="B17" s="8" t="inlineStr">
        <is>
          <t>Официально занятые</t>
        </is>
      </c>
      <c r="C17" s="9" t="inlineStr">
        <is>
          <t>С трудовым договором или зарегистрированные ИП/самозанятые.</t>
        </is>
      </c>
    </row>
    <row r="18" ht="27.75" customHeight="1" s="47">
      <c r="B18" s="8" t="inlineStr">
        <is>
          <t>Неофициально занятые</t>
        </is>
      </c>
      <c r="C18" s="9" t="inlineStr">
        <is>
          <t>Работающие без официальной регистрации (оценка Госкомстата).</t>
        </is>
      </c>
    </row>
    <row r="19" ht="27.75" customHeight="1" s="47">
      <c r="B19" s="8" t="inlineStr">
        <is>
          <t>Социальный реестр</t>
        </is>
      </c>
      <c r="C19" s="9" t="inlineStr">
        <is>
          <t>Единая база нуждающихся семей, получающих гос. помощь.</t>
        </is>
      </c>
    </row>
    <row r="20" ht="27.75" customHeight="1" s="47">
      <c r="B20" s="8" t="inlineStr">
        <is>
          <t>Эмиграция / Иммиграция</t>
        </is>
      </c>
      <c r="C20" s="9" t="inlineStr">
        <is>
          <t>Выезд / прибытие на ПМЖ за год.</t>
        </is>
      </c>
    </row>
    <row r="21" ht="27.75" customHeight="1" s="47">
      <c r="B21" s="8" t="inlineStr">
        <is>
          <t>Младенческая смертность</t>
        </is>
      </c>
      <c r="C21" s="9" t="inlineStr">
        <is>
          <t>Число смертей детей до 1 года на 1000 родившихся живыми (‰).</t>
        </is>
      </c>
    </row>
    <row r="22" ht="27.75" customHeight="1" s="47">
      <c r="B22" s="8" t="inlineStr">
        <is>
          <t>Кредитный портфель</t>
        </is>
      </c>
      <c r="C22" s="9" t="inlineStr">
        <is>
          <t>Сумма выданных и непогашенных кредитов на конец года.</t>
        </is>
      </c>
    </row>
    <row r="23" ht="27.75" customHeight="1" s="47">
      <c r="B23" s="8" t="inlineStr">
        <is>
          <t>Ипотечные / ИЖС</t>
        </is>
      </c>
      <c r="C23" s="9" t="inlineStr">
        <is>
          <t>Кредиты на жильё и индивидуальное жилищное строительство.</t>
        </is>
      </c>
    </row>
    <row r="24" ht="27.75" customHeight="1" s="47">
      <c r="B24" s="8" t="inlineStr">
        <is>
          <t>NPL</t>
        </is>
      </c>
      <c r="C24" s="9" t="inlineStr">
        <is>
          <t>Non-Performing Loans – кредиты с просрочкой более 90 дней.</t>
        </is>
      </c>
    </row>
    <row r="25" ht="27.75" customHeight="1" s="47">
      <c r="B25" s="8" t="inlineStr">
        <is>
          <t>Депозитный портфель</t>
        </is>
      </c>
      <c r="C25" s="9" t="inlineStr">
        <is>
          <t>Сумма всех вкладов физ. и юр. лиц на конец года.</t>
        </is>
      </c>
    </row>
    <row r="26" ht="27.75" customHeight="1" s="47">
      <c r="B26" s="8" t="inlineStr">
        <is>
          <t>Жилой фонд</t>
        </is>
      </c>
      <c r="C26" s="9" t="inlineStr">
        <is>
          <t>Общая площадь всех жилых помещений.</t>
        </is>
      </c>
    </row>
    <row r="27" ht="27.75" customHeight="1" s="47">
      <c r="B27" s="8" t="inlineStr">
        <is>
          <t>Введено жилья</t>
        </is>
      </c>
      <c r="C27" s="9" t="inlineStr">
        <is>
          <t>Площадь жилья, введённого в эксплуатацию по актам ввода.</t>
        </is>
      </c>
    </row>
    <row r="28" ht="27.75" customHeight="1" s="47">
      <c r="B28" s="8" t="inlineStr">
        <is>
          <t>Аварийное жильё</t>
        </is>
      </c>
      <c r="C28" s="9" t="inlineStr">
        <is>
          <t>Официально признанное непригодным для проживания.</t>
        </is>
      </c>
    </row>
    <row r="29" ht="27.75" customHeight="1" s="47">
      <c r="B29" s="8" t="inlineStr">
        <is>
          <t>Доля аварийного жилья, %</t>
        </is>
      </c>
      <c r="C29" s="9" t="inlineStr">
        <is>
          <t>Аварийное жильё ÷ жилой фонд × 100. Считается автоматически.</t>
        </is>
      </c>
    </row>
    <row r="30" ht="27.75" customHeight="1" s="47">
      <c r="B30" s="8" t="inlineStr">
        <is>
          <t>Охват электр./водопр./канализ./газ, %</t>
        </is>
      </c>
      <c r="C30" s="9" t="inlineStr">
        <is>
          <t>Подключённые домохозяйства ÷ всего домохозяйств × 100. Считается автоматически.</t>
        </is>
      </c>
    </row>
    <row r="31" ht="27.75" customHeight="1" s="47">
      <c r="B31" s="8" t="inlineStr">
        <is>
          <t>Доля дорог в хорошем состоянии, %</t>
        </is>
      </c>
      <c r="C31" s="9" t="inlineStr">
        <is>
          <t>Дороги в хорошем состоянии ÷ все дороги × 100. Считается автоматически.</t>
        </is>
      </c>
    </row>
    <row r="32" ht="27.75" customHeight="1" s="47">
      <c r="B32" s="8" t="inlineStr">
        <is>
          <t>Доля асфальтированных дорог, %</t>
        </is>
      </c>
      <c r="C32" s="9" t="inlineStr">
        <is>
          <t>Асфальтированные дороги ÷ все дороги × 100. Считается автоматически.</t>
        </is>
      </c>
    </row>
    <row r="33" ht="27.75" customHeight="1" s="47">
      <c r="B33" s="8" t="inlineStr">
        <is>
          <t>Покрытие 4G</t>
        </is>
      </c>
      <c r="C33" s="9" t="inlineStr">
        <is>
          <t>Процент территории с сетью 4G LTE.</t>
        </is>
      </c>
    </row>
    <row r="34" ht="27.75" customHeight="1" s="47">
      <c r="B34" s="8" t="inlineStr">
        <is>
          <t>Ночёвки</t>
        </is>
      </c>
      <c r="C34" s="9" t="inlineStr">
        <is>
          <t>Человеко-ночи в объектах размещения. 1 турист × 3 ночи = 3 ночёвки.</t>
        </is>
      </c>
    </row>
    <row r="35" ht="27.75" customHeight="1" s="47">
      <c r="B35" s="8" t="inlineStr">
        <is>
          <t>МТМ</t>
        </is>
      </c>
      <c r="C35" s="9" t="inlineStr">
        <is>
          <t>Мактабгача таълим муассасаси – детский сад.</t>
        </is>
      </c>
    </row>
    <row r="36" ht="27.75" customHeight="1" s="47">
      <c r="B36" s="8" t="inlineStr">
        <is>
          <t>Махалля</t>
        </is>
      </c>
      <c r="C36" s="9" t="inlineStr">
        <is>
          <t>Орган самоуправления и территориальная единица в Узбекистане.</t>
        </is>
      </c>
    </row>
    <row r="37" ht="27.75" customHeight="1" s="47">
      <c r="B37" s="8" t="inlineStr">
        <is>
          <t>ТБО</t>
        </is>
      </c>
      <c r="C37" s="9" t="inlineStr">
        <is>
          <t>Твёрдые бытовые отходы.</t>
        </is>
      </c>
    </row>
    <row r="38" ht="27.75" customHeight="1" s="47">
      <c r="B38" s="8" t="inlineStr">
        <is>
          <t>План 2026</t>
        </is>
      </c>
      <c r="C38" s="9" t="inlineStr">
        <is>
          <t>Целевое значение показателя на конец 2026 года.</t>
        </is>
      </c>
    </row>
    <row r="39" ht="27.75" customHeight="1" s="47">
      <c r="B39" s="8" t="inlineStr">
        <is>
          <t>н/д</t>
        </is>
      </c>
      <c r="C39" s="9" t="inlineStr">
        <is>
          <t>Нет данных. Лучше этого, чем 0.</t>
        </is>
      </c>
    </row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49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baseColWidth="8" defaultColWidth="14.43" defaultRowHeight="15" customHeight="1"/>
  <cols>
    <col width="2" customWidth="1" style="47" min="1" max="1"/>
    <col width="50" customWidth="1" style="47" min="2" max="2"/>
    <col width="16" customWidth="1" style="47" min="3" max="3"/>
    <col width="18" customWidth="1" style="47" min="4" max="4"/>
    <col width="13" customWidth="1" style="47" min="5" max="9"/>
    <col width="14" customWidth="1" style="47" min="10" max="10"/>
  </cols>
  <sheetData>
    <row r="2">
      <c r="B2" s="6" t="inlineStr">
        <is>
          <t>Golden Mart – уровень города/тумана</t>
        </is>
      </c>
    </row>
    <row r="3">
      <c r="B3" s="10" t="inlineStr">
        <is>
          <t>Один файл – один город или туман. 2021–2025 + план 2026.</t>
        </is>
      </c>
    </row>
    <row r="4">
      <c r="B4" s="11" t="inlineStr">
        <is>
          <t>Город / туман:</t>
        </is>
      </c>
      <c r="C4" s="12" t="n"/>
    </row>
    <row r="6" ht="27.75" customHeight="1" s="47">
      <c r="B6" s="7" t="inlineStr">
        <is>
          <t>Показатель</t>
        </is>
      </c>
      <c r="C6" s="7" t="inlineStr">
        <is>
          <t>Единица</t>
        </is>
      </c>
      <c r="D6" s="7" t="inlineStr">
        <is>
          <t>Пример</t>
        </is>
      </c>
      <c r="E6" s="7" t="inlineStr">
        <is>
          <t>2021</t>
        </is>
      </c>
      <c r="F6" s="7" t="inlineStr">
        <is>
          <t>2022</t>
        </is>
      </c>
      <c r="G6" s="7" t="inlineStr">
        <is>
          <t>2023</t>
        </is>
      </c>
      <c r="H6" s="7" t="inlineStr">
        <is>
          <t>2024</t>
        </is>
      </c>
      <c r="I6" s="7" t="inlineStr">
        <is>
          <t>2025</t>
        </is>
      </c>
      <c r="J6" s="13" t="inlineStr">
        <is>
          <t>2026 (план)</t>
        </is>
      </c>
    </row>
    <row r="7" ht="15" customHeight="1" s="47">
      <c r="B7" s="48" t="inlineStr">
        <is>
          <t>1. Базовая информация</t>
        </is>
      </c>
      <c r="C7" s="49" t="n"/>
      <c r="D7" s="49" t="n"/>
      <c r="E7" s="49" t="n"/>
      <c r="F7" s="49" t="n"/>
      <c r="G7" s="49" t="n"/>
      <c r="H7" s="49" t="n"/>
      <c r="I7" s="49" t="n"/>
      <c r="J7" s="50" t="n"/>
    </row>
    <row r="8">
      <c r="B8" s="51" t="inlineStr">
        <is>
          <t>Название</t>
        </is>
      </c>
      <c r="C8" s="51" t="inlineStr">
        <is>
          <t>текст</t>
        </is>
      </c>
      <c r="D8" s="18" t="inlineStr">
        <is>
          <t>Фергана</t>
        </is>
      </c>
      <c r="E8" s="19" t="n"/>
      <c r="F8" s="19" t="n"/>
      <c r="G8" s="19" t="n"/>
      <c r="H8" s="19" t="n"/>
      <c r="I8" s="19" t="n"/>
      <c r="J8" s="54" t="inlineStr">
        <is>
          <t>—</t>
        </is>
      </c>
    </row>
    <row r="9">
      <c r="B9" s="51" t="inlineStr">
        <is>
          <t>Тип объекта (город / туман)</t>
        </is>
      </c>
      <c r="C9" s="51" t="inlineStr">
        <is>
          <t>текст</t>
        </is>
      </c>
      <c r="D9" s="18" t="inlineStr">
        <is>
          <t>Город</t>
        </is>
      </c>
      <c r="E9" s="19" t="n"/>
      <c r="F9" s="19" t="n"/>
      <c r="G9" s="19" t="n"/>
      <c r="H9" s="19" t="n"/>
      <c r="I9" s="19" t="n"/>
      <c r="J9" s="54" t="inlineStr">
        <is>
          <t>—</t>
        </is>
      </c>
    </row>
    <row r="10">
      <c r="B10" s="51" t="inlineStr">
        <is>
          <t>Админ. центр области (да/нет)</t>
        </is>
      </c>
      <c r="C10" s="51" t="inlineStr">
        <is>
          <t>да/нет</t>
        </is>
      </c>
      <c r="D10" s="18" t="inlineStr">
        <is>
          <t>Да</t>
        </is>
      </c>
      <c r="E10" s="19" t="n"/>
      <c r="F10" s="19" t="n"/>
      <c r="G10" s="19" t="n"/>
      <c r="H10" s="19" t="n"/>
      <c r="I10" s="19" t="n"/>
      <c r="J10" s="54" t="inlineStr">
        <is>
          <t>—</t>
        </is>
      </c>
    </row>
    <row r="11">
      <c r="B11" s="51" t="inlineStr">
        <is>
          <t>Площадь</t>
        </is>
      </c>
      <c r="C11" s="51" t="inlineStr">
        <is>
          <t>км²</t>
        </is>
      </c>
      <c r="D11" s="52" t="n">
        <v>95</v>
      </c>
      <c r="E11" s="53" t="n"/>
      <c r="F11" s="53" t="n"/>
      <c r="G11" s="53" t="n"/>
      <c r="H11" s="53" t="n"/>
      <c r="I11" s="53" t="n"/>
      <c r="J11" s="54" t="inlineStr">
        <is>
          <t>—</t>
        </is>
      </c>
    </row>
    <row r="12">
      <c r="B12" s="51" t="inlineStr">
        <is>
          <t>Махаллей</t>
        </is>
      </c>
      <c r="C12" s="51" t="inlineStr">
        <is>
          <t>шт.</t>
        </is>
      </c>
      <c r="D12" s="52" t="n">
        <v>62</v>
      </c>
      <c r="E12" s="53" t="n"/>
      <c r="F12" s="53" t="n"/>
      <c r="G12" s="53" t="n"/>
      <c r="H12" s="53" t="n"/>
      <c r="I12" s="53" t="n"/>
      <c r="J12" s="54" t="inlineStr">
        <is>
          <t>—</t>
        </is>
      </c>
    </row>
    <row r="13">
      <c r="B13" s="51" t="inlineStr">
        <is>
          <t>Население постоянное</t>
        </is>
      </c>
      <c r="C13" s="51" t="inlineStr">
        <is>
          <t>чел.</t>
        </is>
      </c>
      <c r="D13" s="52" t="n">
        <v>287000</v>
      </c>
      <c r="E13" s="53" t="n"/>
      <c r="F13" s="53" t="n"/>
      <c r="G13" s="53" t="n"/>
      <c r="H13" s="53" t="n"/>
      <c r="I13" s="53" t="n"/>
      <c r="J13" s="23" t="n"/>
    </row>
    <row r="14">
      <c r="B14" s="51" t="inlineStr">
        <is>
          <t xml:space="preserve">  Мужчин</t>
        </is>
      </c>
      <c r="C14" s="51" t="inlineStr">
        <is>
          <t>чел.</t>
        </is>
      </c>
      <c r="D14" s="52" t="n">
        <v>141500</v>
      </c>
      <c r="E14" s="53" t="n"/>
      <c r="F14" s="53" t="n"/>
      <c r="G14" s="53" t="n"/>
      <c r="H14" s="53" t="n"/>
      <c r="I14" s="53" t="n"/>
      <c r="J14" s="54" t="inlineStr">
        <is>
          <t>—</t>
        </is>
      </c>
    </row>
    <row r="15">
      <c r="B15" s="51" t="inlineStr">
        <is>
          <t xml:space="preserve">  Женщин</t>
        </is>
      </c>
      <c r="C15" s="51" t="inlineStr">
        <is>
          <t>чел.</t>
        </is>
      </c>
      <c r="D15" s="52" t="n">
        <v>145500</v>
      </c>
      <c r="E15" s="53" t="n"/>
      <c r="F15" s="53" t="n"/>
      <c r="G15" s="53" t="n"/>
      <c r="H15" s="53" t="n"/>
      <c r="I15" s="53" t="n"/>
      <c r="J15" s="54" t="inlineStr">
        <is>
          <t>—</t>
        </is>
      </c>
    </row>
    <row r="16">
      <c r="B16" s="51" t="inlineStr">
        <is>
          <t xml:space="preserve">  Население 0–14 лет</t>
        </is>
      </c>
      <c r="C16" s="51" t="inlineStr">
        <is>
          <t>чел.</t>
        </is>
      </c>
      <c r="D16" s="52" t="n">
        <v>87000</v>
      </c>
      <c r="E16" s="53" t="n"/>
      <c r="F16" s="53" t="n"/>
      <c r="G16" s="53" t="n"/>
      <c r="H16" s="53" t="n"/>
      <c r="I16" s="53" t="n"/>
      <c r="J16" s="54" t="inlineStr">
        <is>
          <t>—</t>
        </is>
      </c>
    </row>
    <row r="17">
      <c r="B17" s="51" t="inlineStr">
        <is>
          <t xml:space="preserve">  Население 15–64 лет</t>
        </is>
      </c>
      <c r="C17" s="51" t="inlineStr">
        <is>
          <t>чел.</t>
        </is>
      </c>
      <c r="D17" s="52" t="n">
        <v>183000</v>
      </c>
      <c r="E17" s="53" t="n"/>
      <c r="F17" s="53" t="n"/>
      <c r="G17" s="53" t="n"/>
      <c r="H17" s="53" t="n"/>
      <c r="I17" s="53" t="n"/>
      <c r="J17" s="54" t="inlineStr">
        <is>
          <t>—</t>
        </is>
      </c>
    </row>
    <row r="18">
      <c r="B18" s="51" t="inlineStr">
        <is>
          <t xml:space="preserve">  Население 65+ лет</t>
        </is>
      </c>
      <c r="C18" s="51" t="inlineStr">
        <is>
          <t>чел.</t>
        </is>
      </c>
      <c r="D18" s="52" t="n">
        <v>17000</v>
      </c>
      <c r="E18" s="53" t="n"/>
      <c r="F18" s="53" t="n"/>
      <c r="G18" s="53" t="n"/>
      <c r="H18" s="53" t="n"/>
      <c r="I18" s="53" t="n"/>
      <c r="J18" s="54" t="inlineStr">
        <is>
          <t>—</t>
        </is>
      </c>
    </row>
    <row r="19">
      <c r="B19" s="51" t="inlineStr">
        <is>
          <t>Население 0–2 лет</t>
        </is>
      </c>
      <c r="C19" s="51" t="inlineStr">
        <is>
          <t>чел.</t>
        </is>
      </c>
      <c r="D19" s="52" t="n">
        <v>22000</v>
      </c>
      <c r="E19" s="53" t="n"/>
      <c r="F19" s="53" t="n"/>
      <c r="G19" s="53" t="n"/>
      <c r="H19" s="53" t="n"/>
      <c r="I19" s="53" t="n"/>
      <c r="J19" s="54" t="n"/>
    </row>
    <row r="20">
      <c r="B20" s="51" t="inlineStr">
        <is>
          <t>Население 3–5 лет</t>
        </is>
      </c>
      <c r="C20" s="51" t="inlineStr">
        <is>
          <t>чел.</t>
        </is>
      </c>
      <c r="D20" s="52" t="n">
        <v>19000</v>
      </c>
      <c r="E20" s="53" t="n"/>
      <c r="F20" s="53" t="n"/>
      <c r="G20" s="53" t="n"/>
      <c r="H20" s="53" t="n"/>
      <c r="I20" s="53" t="n"/>
      <c r="J20" s="54" t="n"/>
    </row>
    <row r="21" ht="15" customHeight="1" s="47">
      <c r="B21" s="51" t="inlineStr">
        <is>
          <t>Население 6–7 лет</t>
        </is>
      </c>
      <c r="C21" s="0" t="inlineStr">
        <is>
          <t>чел.</t>
        </is>
      </c>
      <c r="D21" s="0" t="n">
        <v>11000</v>
      </c>
    </row>
    <row r="22" ht="15.75" customHeight="1" s="47">
      <c r="B22" s="51" t="inlineStr">
        <is>
          <t>Население 8–15 лет</t>
        </is>
      </c>
      <c r="C22" s="51" t="inlineStr">
        <is>
          <t>чел.</t>
        </is>
      </c>
      <c r="D22" s="52" t="n">
        <v>43000</v>
      </c>
      <c r="E22" s="53" t="n"/>
      <c r="F22" s="53" t="n"/>
      <c r="G22" s="53" t="n"/>
      <c r="H22" s="53" t="n"/>
      <c r="I22" s="53" t="n"/>
      <c r="J22" s="54" t="n"/>
    </row>
    <row r="23" ht="15.75" customHeight="1" s="47">
      <c r="B23" s="51" t="inlineStr">
        <is>
          <t>Население 16–17 лет</t>
        </is>
      </c>
      <c r="C23" s="51" t="inlineStr">
        <is>
          <t>чел.</t>
        </is>
      </c>
      <c r="D23" s="52" t="n">
        <v>11000</v>
      </c>
      <c r="E23" s="53" t="n"/>
      <c r="F23" s="53" t="n"/>
      <c r="G23" s="53" t="n"/>
      <c r="H23" s="53" t="n"/>
      <c r="I23" s="53" t="n"/>
      <c r="J23" s="54" t="n"/>
    </row>
    <row r="24" ht="15.75" customHeight="1" s="47">
      <c r="B24" s="51" t="inlineStr">
        <is>
          <t>Население 18–19 лет</t>
        </is>
      </c>
      <c r="C24" s="51" t="inlineStr">
        <is>
          <t>чел.</t>
        </is>
      </c>
      <c r="D24" s="52" t="n">
        <v>9800</v>
      </c>
      <c r="E24" s="53" t="n"/>
      <c r="F24" s="53" t="n"/>
      <c r="G24" s="53" t="n"/>
      <c r="H24" s="53" t="n"/>
      <c r="I24" s="53" t="n"/>
      <c r="J24" s="54" t="n"/>
    </row>
    <row r="25" ht="15.75" customHeight="1" s="47">
      <c r="B25" s="51" t="inlineStr">
        <is>
          <t>Население 20–24 лет</t>
        </is>
      </c>
      <c r="C25" s="51" t="inlineStr">
        <is>
          <t>чел.</t>
        </is>
      </c>
      <c r="D25" s="52" t="n">
        <v>21000</v>
      </c>
      <c r="E25" s="53" t="n"/>
      <c r="F25" s="53" t="n"/>
      <c r="G25" s="53" t="n"/>
      <c r="H25" s="53" t="n"/>
      <c r="I25" s="53" t="n"/>
      <c r="J25" s="54" t="n"/>
    </row>
    <row r="26" ht="15.75" customHeight="1" s="47">
      <c r="B26" s="51" t="inlineStr">
        <is>
          <t>Население 25–29 лет</t>
        </is>
      </c>
      <c r="C26" s="51" t="inlineStr">
        <is>
          <t>чел.</t>
        </is>
      </c>
      <c r="D26" s="52" t="n">
        <v>22000</v>
      </c>
      <c r="E26" s="53" t="n"/>
      <c r="F26" s="53" t="n"/>
      <c r="G26" s="53" t="n"/>
      <c r="H26" s="53" t="n"/>
      <c r="I26" s="53" t="n"/>
      <c r="J26" s="54" t="n"/>
    </row>
    <row r="27" ht="15.75" customHeight="1" s="47">
      <c r="B27" s="51" t="inlineStr">
        <is>
          <t>Население 30–34 лет</t>
        </is>
      </c>
      <c r="C27" s="51" t="inlineStr">
        <is>
          <t>чел.</t>
        </is>
      </c>
      <c r="D27" s="52" t="n">
        <v>26000</v>
      </c>
      <c r="E27" s="53" t="n"/>
      <c r="F27" s="53" t="n"/>
      <c r="G27" s="53" t="n"/>
      <c r="H27" s="53" t="n"/>
      <c r="I27" s="53" t="n"/>
      <c r="J27" s="54" t="n"/>
    </row>
    <row r="28" ht="15.75" customHeight="1" s="47">
      <c r="B28" s="51" t="inlineStr">
        <is>
          <t>Население 35–39 лет</t>
        </is>
      </c>
      <c r="C28" s="51" t="inlineStr">
        <is>
          <t>чел.</t>
        </is>
      </c>
      <c r="D28" s="52" t="n">
        <v>24000</v>
      </c>
      <c r="E28" s="53" t="n"/>
      <c r="F28" s="53" t="n"/>
      <c r="G28" s="53" t="n"/>
      <c r="H28" s="53" t="n"/>
      <c r="I28" s="53" t="n"/>
      <c r="J28" s="54" t="n"/>
    </row>
    <row r="29" ht="15" customHeight="1" s="47">
      <c r="B29" s="51" t="inlineStr">
        <is>
          <t>Население 40–49 лет</t>
        </is>
      </c>
      <c r="C29" s="0" t="inlineStr">
        <is>
          <t>чел.</t>
        </is>
      </c>
      <c r="D29" s="0" t="n">
        <v>39000</v>
      </c>
    </row>
    <row r="30" ht="15.75" customHeight="1" s="47">
      <c r="B30" s="51" t="inlineStr">
        <is>
          <t>Население 50–59 лет</t>
        </is>
      </c>
      <c r="C30" s="51" t="inlineStr">
        <is>
          <t>чел.</t>
        </is>
      </c>
      <c r="D30" s="52" t="n">
        <v>27000</v>
      </c>
      <c r="E30" s="53" t="n"/>
      <c r="F30" s="53" t="n"/>
      <c r="G30" s="53" t="n"/>
      <c r="H30" s="53" t="n"/>
      <c r="I30" s="53" t="n"/>
      <c r="J30" s="54" t="n"/>
    </row>
    <row r="31" ht="15.75" customHeight="1" s="47">
      <c r="B31" s="51" t="inlineStr">
        <is>
          <t>Население 60–69 лет</t>
        </is>
      </c>
      <c r="C31" s="51" t="inlineStr">
        <is>
          <t>чел.</t>
        </is>
      </c>
      <c r="D31" s="52" t="n">
        <v>22000</v>
      </c>
      <c r="E31" s="53" t="n"/>
      <c r="F31" s="53" t="n"/>
      <c r="G31" s="53" t="n"/>
      <c r="H31" s="53" t="n"/>
      <c r="I31" s="53" t="n"/>
      <c r="J31" s="54" t="n"/>
    </row>
    <row r="32" ht="15.75" customHeight="1" s="47">
      <c r="B32" s="51" t="inlineStr">
        <is>
          <t>Население 70–74 лет</t>
        </is>
      </c>
      <c r="C32" s="51" t="inlineStr">
        <is>
          <t>чел.</t>
        </is>
      </c>
      <c r="D32" s="52" t="n">
        <v>6300</v>
      </c>
      <c r="E32" s="53" t="n"/>
      <c r="F32" s="53" t="n"/>
      <c r="G32" s="53" t="n"/>
      <c r="H32" s="53" t="n"/>
      <c r="I32" s="53" t="n"/>
      <c r="J32" s="54" t="n"/>
    </row>
    <row r="33" ht="15.75" customHeight="1" s="47">
      <c r="B33" s="51" t="inlineStr">
        <is>
          <t>Население 75–79 лет</t>
        </is>
      </c>
      <c r="C33" s="51" t="inlineStr">
        <is>
          <t>чел.</t>
        </is>
      </c>
      <c r="D33" s="52" t="n">
        <v>3500</v>
      </c>
      <c r="E33" s="53" t="n"/>
      <c r="F33" s="53" t="n"/>
      <c r="G33" s="53" t="n"/>
      <c r="H33" s="53" t="n"/>
      <c r="I33" s="53" t="n"/>
      <c r="J33" s="54" t="n"/>
    </row>
    <row r="34" ht="15.75" customHeight="1" s="47">
      <c r="B34" s="51" t="inlineStr">
        <is>
          <t>Население 80–84 лет</t>
        </is>
      </c>
      <c r="C34" s="51" t="inlineStr">
        <is>
          <t>чел.</t>
        </is>
      </c>
      <c r="D34" s="52" t="n">
        <v>1300</v>
      </c>
      <c r="E34" s="53" t="n"/>
      <c r="F34" s="53" t="n"/>
      <c r="G34" s="53" t="n"/>
      <c r="H34" s="53" t="n"/>
      <c r="I34" s="53" t="n"/>
      <c r="J34" s="54" t="n"/>
    </row>
    <row r="35" ht="15.75" customHeight="1" s="47">
      <c r="B35" s="51" t="inlineStr">
        <is>
          <t>Население 85+ лет</t>
        </is>
      </c>
      <c r="C35" s="51" t="inlineStr">
        <is>
          <t>чел.</t>
        </is>
      </c>
      <c r="D35" s="52" t="n">
        <v>880</v>
      </c>
      <c r="E35" s="53" t="n"/>
      <c r="F35" s="53" t="n"/>
      <c r="G35" s="53" t="n"/>
      <c r="H35" s="53" t="n"/>
      <c r="I35" s="53" t="n"/>
      <c r="J35" s="54" t="n"/>
    </row>
    <row r="36" ht="15.75" customHeight="1" s="47">
      <c r="B36" s="51" t="inlineStr">
        <is>
          <t>Семей</t>
        </is>
      </c>
      <c r="C36" s="51" t="inlineStr">
        <is>
          <t>тыс.</t>
        </is>
      </c>
      <c r="D36" s="52" t="n">
        <v>72</v>
      </c>
      <c r="E36" s="53" t="n"/>
      <c r="F36" s="53" t="n"/>
      <c r="G36" s="53" t="n"/>
      <c r="H36" s="53" t="n"/>
      <c r="I36" s="53" t="n"/>
      <c r="J36" s="54" t="inlineStr">
        <is>
          <t>—</t>
        </is>
      </c>
    </row>
    <row r="37" ht="15.75" customHeight="1" s="47">
      <c r="B37" s="51" t="inlineStr">
        <is>
          <t>Домохозяйств</t>
        </is>
      </c>
      <c r="C37" s="51" t="inlineStr">
        <is>
          <t>тыс.</t>
        </is>
      </c>
      <c r="D37" s="52" t="n">
        <v>74</v>
      </c>
      <c r="E37" s="53" t="n"/>
      <c r="F37" s="53" t="n"/>
      <c r="G37" s="53" t="n"/>
      <c r="H37" s="53" t="n"/>
      <c r="I37" s="53" t="n"/>
      <c r="J37" s="54" t="inlineStr">
        <is>
          <t>—</t>
        </is>
      </c>
    </row>
    <row r="38" ht="15.75" customHeight="1" s="47">
      <c r="B38" s="48" t="inlineStr">
        <is>
          <t>2. Экономика – объёмы</t>
        </is>
      </c>
      <c r="C38" s="49" t="n"/>
      <c r="D38" s="49" t="n"/>
      <c r="E38" s="49" t="n"/>
      <c r="F38" s="49" t="n"/>
      <c r="G38" s="49" t="n"/>
      <c r="H38" s="49" t="n"/>
      <c r="I38" s="49" t="n"/>
      <c r="J38" s="50" t="n"/>
    </row>
    <row r="39" ht="15" customHeight="1" s="47">
      <c r="B39" s="51" t="inlineStr">
        <is>
          <t>ВТП (валовой территориальный продукт)</t>
        </is>
      </c>
      <c r="C39" t="inlineStr">
        <is>
          <t>млрд сум</t>
        </is>
      </c>
      <c r="D39" t="n">
        <v>5200</v>
      </c>
    </row>
    <row r="40" ht="15.75" customHeight="1" s="47">
      <c r="B40" s="51" t="inlineStr">
        <is>
          <t xml:space="preserve">  Промышленность – объём</t>
        </is>
      </c>
      <c r="C40" s="51" t="inlineStr">
        <is>
          <t>млрд сум</t>
        </is>
      </c>
      <c r="D40" s="24" t="n">
        <v>2200</v>
      </c>
      <c r="E40" s="25" t="n"/>
      <c r="F40" s="25" t="n"/>
      <c r="G40" s="25" t="n"/>
      <c r="H40" s="25" t="n"/>
      <c r="I40" s="25" t="n"/>
      <c r="J40" s="26" t="n"/>
    </row>
    <row r="41" ht="15.75" customHeight="1" s="47">
      <c r="B41" s="51" t="inlineStr">
        <is>
          <t xml:space="preserve">  Услуги – объём</t>
        </is>
      </c>
      <c r="C41" s="51" t="inlineStr">
        <is>
          <t>млрд сум</t>
        </is>
      </c>
      <c r="D41" s="24" t="n">
        <v>1560</v>
      </c>
      <c r="E41" s="25" t="n"/>
      <c r="F41" s="25" t="n"/>
      <c r="G41" s="25" t="n"/>
      <c r="H41" s="25" t="n"/>
      <c r="I41" s="25" t="n"/>
      <c r="J41" s="26" t="n"/>
    </row>
    <row r="42" ht="15.75" customHeight="1" s="47">
      <c r="B42" s="51" t="inlineStr">
        <is>
          <t xml:space="preserve">  Розничная торговля – объём</t>
        </is>
      </c>
      <c r="C42" s="51" t="inlineStr">
        <is>
          <t>млрд сум</t>
        </is>
      </c>
      <c r="D42" s="24" t="n">
        <v>780</v>
      </c>
      <c r="E42" s="25" t="n"/>
      <c r="F42" s="25" t="n"/>
      <c r="G42" s="25" t="n"/>
      <c r="H42" s="25" t="n"/>
      <c r="I42" s="25" t="n"/>
      <c r="J42" s="26" t="n"/>
    </row>
    <row r="43" ht="15" customHeight="1" s="47">
      <c r="B43" s="51" t="inlineStr">
        <is>
          <t xml:space="preserve">  Строительство – объём</t>
        </is>
      </c>
      <c r="C43" s="51" t="inlineStr">
        <is>
          <t>млрд сум</t>
        </is>
      </c>
      <c r="D43" s="24" t="n">
        <v>430</v>
      </c>
      <c r="E43" s="25" t="n"/>
      <c r="F43" s="25" t="n"/>
      <c r="G43" s="25" t="n"/>
      <c r="H43" s="25" t="n"/>
      <c r="I43" s="25" t="n"/>
      <c r="J43" s="26" t="n"/>
    </row>
    <row r="44" ht="15.75" customHeight="1" s="47">
      <c r="B44" s="51" t="inlineStr">
        <is>
          <t xml:space="preserve">  Сельское хозяйство – объём</t>
        </is>
      </c>
      <c r="C44" t="inlineStr">
        <is>
          <t>млрд сум</t>
        </is>
      </c>
      <c r="D44" t="n">
        <v>70</v>
      </c>
    </row>
    <row r="45" ht="15.75" customHeight="1" s="47">
      <c r="B45" s="51" t="inlineStr">
        <is>
          <t>Инвестиции в основной капитал</t>
        </is>
      </c>
      <c r="C45" s="51" t="inlineStr">
        <is>
          <t>млрд сум</t>
        </is>
      </c>
      <c r="D45" s="24" t="n">
        <v>1080</v>
      </c>
      <c r="E45" s="25" t="n"/>
      <c r="F45" s="25" t="n"/>
      <c r="G45" s="25" t="n"/>
      <c r="H45" s="25" t="n"/>
      <c r="I45" s="25" t="n"/>
      <c r="J45" s="26" t="n"/>
    </row>
    <row r="46" ht="15.75" customHeight="1" s="47">
      <c r="B46" s="48" t="inlineStr">
        <is>
          <t>3. Бюджет</t>
        </is>
      </c>
      <c r="C46" s="49" t="n"/>
      <c r="D46" s="49" t="n"/>
      <c r="E46" s="49" t="n"/>
      <c r="F46" s="49" t="n"/>
      <c r="G46" s="49" t="n"/>
      <c r="H46" s="49" t="n"/>
      <c r="I46" s="49" t="n"/>
      <c r="J46" s="50" t="n"/>
    </row>
    <row r="47" ht="15.75" customHeight="1" s="47">
      <c r="B47" s="51" t="inlineStr">
        <is>
          <t>Доходы бюджета – всего</t>
        </is>
      </c>
      <c r="C47" s="51" t="inlineStr">
        <is>
          <t>млрд сум</t>
        </is>
      </c>
      <c r="D47" s="24" t="n">
        <v>790</v>
      </c>
      <c r="E47" s="25" t="n"/>
      <c r="F47" s="25" t="n"/>
      <c r="G47" s="25" t="n"/>
      <c r="H47" s="25" t="n"/>
      <c r="I47" s="25" t="n"/>
      <c r="J47" s="26" t="n"/>
    </row>
    <row r="48" ht="15.75" customHeight="1" s="47">
      <c r="B48" s="51" t="inlineStr">
        <is>
          <t xml:space="preserve">  Налоговые поступления</t>
        </is>
      </c>
      <c r="C48" s="51" t="inlineStr">
        <is>
          <t>млрд сум</t>
        </is>
      </c>
      <c r="D48" s="24" t="n">
        <v>605</v>
      </c>
      <c r="E48" s="25" t="n"/>
      <c r="F48" s="25" t="n"/>
      <c r="G48" s="25" t="n"/>
      <c r="H48" s="25" t="n"/>
      <c r="I48" s="25" t="n"/>
      <c r="J48" s="26" t="n"/>
    </row>
    <row r="49" ht="15.75" customHeight="1" s="47">
      <c r="B49" s="51" t="inlineStr">
        <is>
          <t xml:space="preserve">  Неналоговые доходы</t>
        </is>
      </c>
      <c r="C49" s="51" t="inlineStr">
        <is>
          <t>млрд сум</t>
        </is>
      </c>
      <c r="D49" s="24" t="n">
        <v>115</v>
      </c>
      <c r="E49" s="25" t="n"/>
      <c r="F49" s="25" t="n"/>
      <c r="G49" s="25" t="n"/>
      <c r="H49" s="25" t="n"/>
      <c r="I49" s="25" t="n"/>
      <c r="J49" s="26" t="n"/>
    </row>
    <row r="50" ht="15.75" customHeight="1" s="47">
      <c r="B50" s="51" t="inlineStr">
        <is>
          <t xml:space="preserve">  Трансферты из вышестоящ. бюджета</t>
        </is>
      </c>
      <c r="C50" s="51" t="inlineStr">
        <is>
          <t>млрд сум</t>
        </is>
      </c>
      <c r="D50" s="24" t="n">
        <v>70</v>
      </c>
      <c r="E50" s="25" t="n"/>
      <c r="F50" s="25" t="n"/>
      <c r="G50" s="25" t="n"/>
      <c r="H50" s="25" t="n"/>
      <c r="I50" s="25" t="n"/>
      <c r="J50" s="26" t="n"/>
    </row>
    <row r="51" ht="15.75" customHeight="1" s="47">
      <c r="B51" s="51" t="inlineStr">
        <is>
          <t>Расходы бюджета – всего</t>
        </is>
      </c>
      <c r="C51" s="51" t="inlineStr">
        <is>
          <t>млрд сум</t>
        </is>
      </c>
      <c r="D51" s="24" t="n">
        <v>780</v>
      </c>
      <c r="E51" s="25" t="n"/>
      <c r="F51" s="25" t="n"/>
      <c r="G51" s="25" t="n"/>
      <c r="H51" s="25" t="n"/>
      <c r="I51" s="25" t="n"/>
      <c r="J51" s="26" t="n"/>
    </row>
    <row r="52" ht="15.75" customHeight="1" s="47">
      <c r="B52" s="51" t="inlineStr">
        <is>
          <t xml:space="preserve">  Социальная сфера</t>
        </is>
      </c>
      <c r="C52" s="51" t="inlineStr">
        <is>
          <t>млрд сум</t>
        </is>
      </c>
      <c r="D52" s="24" t="n">
        <v>395</v>
      </c>
      <c r="E52" s="25" t="n"/>
      <c r="F52" s="25" t="n"/>
      <c r="G52" s="25" t="n"/>
      <c r="H52" s="25" t="n"/>
      <c r="I52" s="25" t="n"/>
      <c r="J52" s="26" t="n"/>
    </row>
    <row r="53" ht="15.75" customHeight="1" s="47">
      <c r="B53" s="51" t="inlineStr">
        <is>
          <t xml:space="preserve">  Инфраструктура и экономика</t>
        </is>
      </c>
      <c r="C53" s="51" t="inlineStr">
        <is>
          <t>млрд сум</t>
        </is>
      </c>
      <c r="D53" s="24" t="n">
        <v>240</v>
      </c>
      <c r="E53" s="25" t="n"/>
      <c r="F53" s="25" t="n"/>
      <c r="G53" s="25" t="n"/>
      <c r="H53" s="25" t="n"/>
      <c r="I53" s="25" t="n"/>
      <c r="J53" s="26" t="n"/>
    </row>
    <row r="54" ht="15.75" customHeight="1" s="47">
      <c r="B54" s="51" t="inlineStr">
        <is>
          <t xml:space="preserve">  Управление и прочее</t>
        </is>
      </c>
      <c r="C54" s="51" t="inlineStr">
        <is>
          <t>млрд сум</t>
        </is>
      </c>
      <c r="D54" s="24" t="n">
        <v>145</v>
      </c>
      <c r="E54" s="25" t="n"/>
      <c r="F54" s="25" t="n"/>
      <c r="G54" s="25" t="n"/>
      <c r="H54" s="25" t="n"/>
      <c r="I54" s="25" t="n"/>
      <c r="J54" s="26" t="n"/>
    </row>
    <row r="55" ht="15.75" customHeight="1" s="47">
      <c r="B55" s="51" t="inlineStr">
        <is>
          <t>Дефицит / Профицит бюджета</t>
        </is>
      </c>
      <c r="C55" s="51" t="inlineStr">
        <is>
          <t>млрд сум</t>
        </is>
      </c>
      <c r="D55" s="24" t="n">
        <v>10</v>
      </c>
      <c r="E55" s="25" t="n"/>
      <c r="F55" s="25" t="n"/>
      <c r="G55" s="25" t="n"/>
      <c r="H55" s="25" t="n"/>
      <c r="I55" s="25" t="n"/>
      <c r="J55" s="26" t="n"/>
    </row>
    <row r="56" ht="15" customHeight="1" s="47">
      <c r="B56" s="48" t="inlineStr">
        <is>
          <t>4. Внешняя торговля</t>
        </is>
      </c>
      <c r="C56" s="49" t="n"/>
      <c r="D56" s="49" t="n"/>
      <c r="E56" s="49" t="n"/>
      <c r="F56" s="49" t="n"/>
      <c r="G56" s="49" t="n"/>
      <c r="H56" s="49" t="n"/>
      <c r="I56" s="49" t="n"/>
      <c r="J56" s="50" t="n"/>
    </row>
    <row r="57" ht="15.75" customHeight="1" s="47">
      <c r="B57" s="51" t="inlineStr">
        <is>
          <t>Товарооборот</t>
        </is>
      </c>
      <c r="C57" s="49" t="n"/>
      <c r="D57" s="49" t="n"/>
      <c r="E57" s="49" t="n"/>
      <c r="F57" s="49" t="n"/>
      <c r="G57" s="49" t="n"/>
      <c r="H57" s="49" t="n"/>
      <c r="I57" s="49" t="n"/>
      <c r="J57" s="50" t="n"/>
    </row>
    <row r="58" ht="15.75" customHeight="1" s="47">
      <c r="B58" s="51" t="inlineStr">
        <is>
          <t>Экспорт</t>
        </is>
      </c>
      <c r="C58" s="51" t="inlineStr">
        <is>
          <t>млрд сум</t>
        </is>
      </c>
      <c r="D58" s="24" t="n">
        <v>2925</v>
      </c>
      <c r="E58" s="25" t="n"/>
      <c r="F58" s="25" t="n"/>
      <c r="G58" s="25" t="n"/>
      <c r="H58" s="25" t="n"/>
      <c r="I58" s="25" t="n"/>
      <c r="J58" s="26" t="n"/>
    </row>
    <row r="59" ht="15.75" customHeight="1" s="47">
      <c r="B59" s="51" t="inlineStr">
        <is>
          <t>Импорт</t>
        </is>
      </c>
      <c r="C59" s="51" t="inlineStr">
        <is>
          <t>млрд сум</t>
        </is>
      </c>
      <c r="D59" s="24" t="n">
        <v>2405</v>
      </c>
      <c r="E59" s="25" t="n"/>
      <c r="F59" s="25" t="n"/>
      <c r="G59" s="25" t="n"/>
      <c r="H59" s="25" t="n"/>
      <c r="I59" s="25" t="n"/>
      <c r="J59" s="26" t="n"/>
    </row>
    <row r="60" ht="15.75" customHeight="1" s="47">
      <c r="B60" s="27" t="inlineStr">
        <is>
          <t>Сальдо торговли (экспорт − импорт)</t>
        </is>
      </c>
      <c r="C60" s="27" t="inlineStr">
        <is>
          <t>млрд сум</t>
        </is>
      </c>
      <c r="D60" s="28">
        <f>D41-D42</f>
        <v/>
      </c>
      <c r="E60" s="28">
        <f>IFERROR(E41-E42,"")</f>
        <v/>
      </c>
      <c r="F60" s="28">
        <f>IFERROR(F41-F42,"")</f>
        <v/>
      </c>
      <c r="G60" s="28">
        <f>IFERROR(G41-G42,"")</f>
        <v/>
      </c>
      <c r="H60" s="28">
        <f>IFERROR(H41-H42,"")</f>
        <v/>
      </c>
      <c r="I60" s="28">
        <f>IFERROR(I41-I42,"")</f>
        <v/>
      </c>
      <c r="J60" s="29" t="n"/>
    </row>
    <row r="61" ht="15.75" customHeight="1" s="47">
      <c r="B61" s="48" t="inlineStr">
        <is>
          <t>5. Основные торговые партнёры</t>
        </is>
      </c>
      <c r="C61" s="49" t="n"/>
      <c r="D61" s="49" t="n"/>
      <c r="E61" s="49" t="n"/>
      <c r="F61" s="49" t="n"/>
      <c r="G61" s="49" t="n"/>
      <c r="H61" s="49" t="n"/>
      <c r="I61" s="49" t="n"/>
      <c r="J61" s="50" t="n"/>
    </row>
    <row r="62" ht="15.75" customHeight="1" s="47">
      <c r="B62" s="51" t="inlineStr">
        <is>
          <t>Экспорт – страна 1: название</t>
        </is>
      </c>
      <c r="C62" s="51" t="inlineStr">
        <is>
          <t>текст</t>
        </is>
      </c>
      <c r="D62" s="18" t="inlineStr">
        <is>
          <t>Россия</t>
        </is>
      </c>
      <c r="E62" s="19" t="n"/>
      <c r="F62" s="19" t="n"/>
      <c r="G62" s="19" t="n"/>
      <c r="H62" s="19" t="n"/>
      <c r="I62" s="19" t="n"/>
      <c r="J62" s="54" t="inlineStr">
        <is>
          <t>—</t>
        </is>
      </c>
    </row>
    <row r="63" ht="15" customHeight="1" s="47">
      <c r="B63" s="51" t="inlineStr">
        <is>
          <t>Экспорт – страна 1: объём</t>
        </is>
      </c>
      <c r="C63" s="51" t="inlineStr">
        <is>
          <t>млрд сум</t>
        </is>
      </c>
      <c r="D63" s="24" t="n">
        <v>845</v>
      </c>
      <c r="E63" s="25" t="n"/>
      <c r="F63" s="25" t="n"/>
      <c r="G63" s="25" t="n"/>
      <c r="H63" s="25" t="n"/>
      <c r="I63" s="25" t="n"/>
      <c r="J63" s="54" t="inlineStr">
        <is>
          <t>—</t>
        </is>
      </c>
    </row>
    <row r="64" ht="15.75" customHeight="1" s="47">
      <c r="B64" s="51" t="inlineStr">
        <is>
          <t>Экспорт – страна 2: название</t>
        </is>
      </c>
      <c r="C64" s="49" t="n"/>
      <c r="D64" s="49" t="n"/>
      <c r="E64" s="49" t="n"/>
      <c r="F64" s="49" t="n"/>
      <c r="G64" s="49" t="n"/>
      <c r="H64" s="49" t="n"/>
      <c r="I64" s="49" t="n"/>
      <c r="J64" s="50" t="n"/>
    </row>
    <row r="65" ht="15.75" customHeight="1" s="47">
      <c r="B65" s="51" t="inlineStr">
        <is>
          <t>Экспорт – страна 2: объём</t>
        </is>
      </c>
      <c r="C65" s="51" t="inlineStr">
        <is>
          <t>млрд сум</t>
        </is>
      </c>
      <c r="D65" s="24" t="n">
        <v>624</v>
      </c>
      <c r="E65" s="25" t="n"/>
      <c r="F65" s="25" t="n"/>
      <c r="G65" s="25" t="n"/>
      <c r="H65" s="25" t="n"/>
      <c r="I65" s="25" t="n"/>
      <c r="J65" s="54" t="inlineStr">
        <is>
          <t>—</t>
        </is>
      </c>
    </row>
    <row r="66" ht="15.75" customHeight="1" s="47">
      <c r="B66" s="51" t="inlineStr">
        <is>
          <t>Экспорт – страна 3: название</t>
        </is>
      </c>
      <c r="C66" s="51" t="inlineStr">
        <is>
          <t>текст</t>
        </is>
      </c>
      <c r="D66" s="18" t="inlineStr">
        <is>
          <t>Китай</t>
        </is>
      </c>
      <c r="E66" s="19" t="n"/>
      <c r="F66" s="19" t="n"/>
      <c r="G66" s="19" t="n"/>
      <c r="H66" s="19" t="n"/>
      <c r="I66" s="19" t="n"/>
      <c r="J66" s="54" t="inlineStr">
        <is>
          <t>—</t>
        </is>
      </c>
    </row>
    <row r="67" ht="15.75" customHeight="1" s="47">
      <c r="B67" s="51" t="inlineStr">
        <is>
          <t>Экспорт – страна 3: объём</t>
        </is>
      </c>
      <c r="C67" s="51" t="inlineStr">
        <is>
          <t>млрд сум</t>
        </is>
      </c>
      <c r="D67" s="24" t="n">
        <v>481</v>
      </c>
      <c r="E67" s="25" t="n"/>
      <c r="F67" s="25" t="n"/>
      <c r="G67" s="25" t="n"/>
      <c r="H67" s="25" t="n"/>
      <c r="I67" s="25" t="n"/>
      <c r="J67" s="54" t="inlineStr">
        <is>
          <t>—</t>
        </is>
      </c>
    </row>
    <row r="68" ht="15.75" customHeight="1" s="47">
      <c r="B68" s="51" t="inlineStr">
        <is>
          <t>Импорт – страна 1: название</t>
        </is>
      </c>
      <c r="C68" s="51" t="inlineStr">
        <is>
          <t>текст</t>
        </is>
      </c>
      <c r="D68" s="18" t="inlineStr">
        <is>
          <t>Китай</t>
        </is>
      </c>
      <c r="E68" s="19" t="n"/>
      <c r="F68" s="19" t="n"/>
      <c r="G68" s="19" t="n"/>
      <c r="H68" s="19" t="n"/>
      <c r="I68" s="19" t="n"/>
      <c r="J68" s="54" t="inlineStr">
        <is>
          <t>—</t>
        </is>
      </c>
    </row>
    <row r="69" ht="15.75" customHeight="1" s="47">
      <c r="B69" s="51" t="inlineStr">
        <is>
          <t>Импорт – страна 1: объём</t>
        </is>
      </c>
      <c r="C69" s="51" t="inlineStr">
        <is>
          <t>млрд сум</t>
        </is>
      </c>
      <c r="D69" s="24" t="n">
        <v>806</v>
      </c>
      <c r="E69" s="25" t="n"/>
      <c r="F69" s="25" t="n"/>
      <c r="G69" s="25" t="n"/>
      <c r="H69" s="25" t="n"/>
      <c r="I69" s="25" t="n"/>
      <c r="J69" s="54" t="inlineStr">
        <is>
          <t>—</t>
        </is>
      </c>
    </row>
    <row r="70" ht="15.75" customHeight="1" s="47">
      <c r="B70" s="51" t="inlineStr">
        <is>
          <t>Импорт – страна 2: название</t>
        </is>
      </c>
      <c r="C70" s="51" t="inlineStr">
        <is>
          <t>текст</t>
        </is>
      </c>
      <c r="D70" s="18" t="inlineStr">
        <is>
          <t>Россия</t>
        </is>
      </c>
      <c r="E70" s="19" t="n"/>
      <c r="F70" s="19" t="n"/>
      <c r="G70" s="19" t="n"/>
      <c r="H70" s="19" t="n"/>
      <c r="I70" s="19" t="n"/>
      <c r="J70" s="54" t="inlineStr">
        <is>
          <t>—</t>
        </is>
      </c>
    </row>
    <row r="71" ht="15.75" customHeight="1" s="47">
      <c r="B71" s="51" t="inlineStr">
        <is>
          <t>Импорт – страна 2: объём</t>
        </is>
      </c>
      <c r="C71" s="51" t="inlineStr">
        <is>
          <t>млрд сум</t>
        </is>
      </c>
      <c r="D71" s="24" t="n">
        <v>572</v>
      </c>
      <c r="E71" s="25" t="n"/>
      <c r="F71" s="25" t="n"/>
      <c r="G71" s="25" t="n"/>
      <c r="H71" s="25" t="n"/>
      <c r="I71" s="25" t="n"/>
      <c r="J71" s="54" t="inlineStr">
        <is>
          <t>—</t>
        </is>
      </c>
    </row>
    <row r="72" ht="15.75" customHeight="1" s="47">
      <c r="B72" s="51" t="inlineStr">
        <is>
          <t>Импорт – страна 3: название</t>
        </is>
      </c>
      <c r="C72" s="51" t="inlineStr">
        <is>
          <t>текст</t>
        </is>
      </c>
      <c r="D72" s="18" t="inlineStr">
        <is>
          <t>Турция</t>
        </is>
      </c>
      <c r="E72" s="19" t="n"/>
      <c r="F72" s="19" t="n"/>
      <c r="G72" s="19" t="n"/>
      <c r="H72" s="19" t="n"/>
      <c r="I72" s="19" t="n"/>
      <c r="J72" s="54" t="inlineStr">
        <is>
          <t>—</t>
        </is>
      </c>
    </row>
    <row r="73" ht="15" customHeight="1" s="47">
      <c r="B73" s="51" t="inlineStr">
        <is>
          <t>Импорт – страна 3: объём</t>
        </is>
      </c>
      <c r="C73" s="51" t="inlineStr">
        <is>
          <t>млрд сум</t>
        </is>
      </c>
      <c r="D73" s="24" t="n">
        <v>390</v>
      </c>
      <c r="E73" s="25" t="n"/>
      <c r="F73" s="25" t="n"/>
      <c r="G73" s="25" t="n"/>
      <c r="H73" s="25" t="n"/>
      <c r="I73" s="25" t="n"/>
      <c r="J73" s="54" t="inlineStr">
        <is>
          <t>—</t>
        </is>
      </c>
    </row>
    <row r="74" ht="15.75" customHeight="1" s="47">
      <c r="B74" s="48" t="inlineStr">
        <is>
          <t>6. Инвестиции по источникам</t>
        </is>
      </c>
      <c r="C74" s="49" t="n"/>
      <c r="D74" s="49" t="n"/>
      <c r="E74" s="49" t="n"/>
      <c r="F74" s="49" t="n"/>
      <c r="G74" s="49" t="n"/>
      <c r="H74" s="49" t="n"/>
      <c r="I74" s="49" t="n"/>
      <c r="J74" s="50" t="n"/>
    </row>
    <row r="75" ht="15.75" customHeight="1" s="47">
      <c r="B75" s="51" t="inlineStr">
        <is>
          <t>Собственные средства предприятий</t>
        </is>
      </c>
      <c r="C75" s="51" t="inlineStr">
        <is>
          <t>млрд сум</t>
        </is>
      </c>
      <c r="D75" s="24" t="n">
        <v>410</v>
      </c>
      <c r="E75" s="25" t="n"/>
      <c r="F75" s="25" t="n"/>
      <c r="G75" s="25" t="n"/>
      <c r="H75" s="25" t="n"/>
      <c r="I75" s="25" t="n"/>
      <c r="J75" s="26" t="n"/>
    </row>
    <row r="76" ht="15.75" customHeight="1" s="47">
      <c r="B76" s="51" t="inlineStr">
        <is>
          <t>Иностранные инвестиции</t>
        </is>
      </c>
      <c r="C76" s="51" t="inlineStr">
        <is>
          <t>млрд сум</t>
        </is>
      </c>
      <c r="D76" s="24" t="n">
        <v>194</v>
      </c>
      <c r="E76" s="25" t="n"/>
      <c r="F76" s="25" t="n"/>
      <c r="G76" s="25" t="n"/>
      <c r="H76" s="25" t="n"/>
      <c r="I76" s="25" t="n"/>
      <c r="J76" s="26" t="n"/>
    </row>
    <row r="77" ht="15.75" customHeight="1" s="47">
      <c r="B77" s="51" t="inlineStr">
        <is>
          <t>Госбюджет</t>
        </is>
      </c>
      <c r="C77" s="51" t="inlineStr">
        <is>
          <t>млрд сум</t>
        </is>
      </c>
      <c r="D77" s="24" t="n">
        <v>205</v>
      </c>
      <c r="E77" s="25" t="n"/>
      <c r="F77" s="25" t="n"/>
      <c r="G77" s="25" t="n"/>
      <c r="H77" s="25" t="n"/>
      <c r="I77" s="25" t="n"/>
      <c r="J77" s="26" t="n"/>
    </row>
    <row r="78" ht="15.75" customHeight="1" s="47">
      <c r="B78" s="51" t="inlineStr">
        <is>
          <t>Банковские кредиты</t>
        </is>
      </c>
      <c r="C78" s="51" t="inlineStr">
        <is>
          <t>млрд сум</t>
        </is>
      </c>
      <c r="D78" s="24" t="n">
        <v>184</v>
      </c>
      <c r="E78" s="25" t="n"/>
      <c r="F78" s="25" t="n"/>
      <c r="G78" s="25" t="n"/>
      <c r="H78" s="25" t="n"/>
      <c r="I78" s="25" t="n"/>
      <c r="J78" s="26" t="n"/>
    </row>
    <row r="79" ht="15.75" customHeight="1" s="47">
      <c r="B79" s="51" t="inlineStr">
        <is>
          <t>Средства населения</t>
        </is>
      </c>
      <c r="C79" s="51" t="inlineStr">
        <is>
          <t>млрд сум</t>
        </is>
      </c>
      <c r="D79" s="24" t="n">
        <v>65</v>
      </c>
      <c r="E79" s="25" t="n"/>
      <c r="F79" s="25" t="n"/>
      <c r="G79" s="25" t="n"/>
      <c r="H79" s="25" t="n"/>
      <c r="I79" s="25" t="n"/>
      <c r="J79" s="26" t="n"/>
    </row>
    <row r="80" ht="15.75" customHeight="1" s="47">
      <c r="B80" s="51" t="inlineStr">
        <is>
          <t>Фонд реконструкции</t>
        </is>
      </c>
      <c r="C80" s="51" t="inlineStr">
        <is>
          <t>млрд сум</t>
        </is>
      </c>
      <c r="D80" s="24" t="n">
        <v>22</v>
      </c>
      <c r="E80" s="25" t="n"/>
      <c r="F80" s="25" t="n"/>
      <c r="G80" s="25" t="n"/>
      <c r="H80" s="25" t="n"/>
      <c r="I80" s="25" t="n"/>
      <c r="J80" s="26" t="n"/>
    </row>
    <row r="81" ht="15.75" customHeight="1" s="47">
      <c r="B81" s="48" t="inlineStr">
        <is>
          <t>7. Предпринимательство</t>
        </is>
      </c>
      <c r="C81" s="49" t="n"/>
      <c r="D81" s="49" t="n"/>
      <c r="E81" s="49" t="n"/>
      <c r="F81" s="49" t="n"/>
      <c r="G81" s="49" t="n"/>
      <c r="H81" s="49" t="n"/>
      <c r="I81" s="49" t="n"/>
      <c r="J81" s="50" t="n"/>
    </row>
    <row r="82" ht="15.75" customHeight="1" s="47">
      <c r="B82" s="51" t="inlineStr">
        <is>
          <t>Активных субъектов – всего</t>
        </is>
      </c>
      <c r="C82" s="51" t="inlineStr">
        <is>
          <t>шт.</t>
        </is>
      </c>
      <c r="D82" s="52" t="n">
        <v>12400</v>
      </c>
      <c r="E82" s="53" t="n"/>
      <c r="F82" s="53" t="n"/>
      <c r="G82" s="53" t="n"/>
      <c r="H82" s="53" t="n"/>
      <c r="I82" s="53" t="n"/>
      <c r="J82" s="23" t="n"/>
    </row>
    <row r="83" ht="15.75" customHeight="1" s="47">
      <c r="B83" s="51" t="inlineStr">
        <is>
          <t xml:space="preserve">  ООО</t>
        </is>
      </c>
      <c r="C83" s="51" t="inlineStr">
        <is>
          <t>шт.</t>
        </is>
      </c>
      <c r="D83" s="52" t="n">
        <v>6300</v>
      </c>
      <c r="E83" s="53" t="n"/>
      <c r="F83" s="53" t="n"/>
      <c r="G83" s="53" t="n"/>
      <c r="H83" s="53" t="n"/>
      <c r="I83" s="53" t="n"/>
      <c r="J83" s="23" t="n"/>
    </row>
    <row r="84" ht="15.75" customHeight="1" s="47">
      <c r="B84" s="51" t="inlineStr">
        <is>
          <t xml:space="preserve">  ИП (ЯТТ)</t>
        </is>
      </c>
      <c r="C84" s="51" t="inlineStr">
        <is>
          <t>шт.</t>
        </is>
      </c>
      <c r="D84" s="52" t="n">
        <v>5600</v>
      </c>
      <c r="E84" s="53" t="n"/>
      <c r="F84" s="53" t="n"/>
      <c r="G84" s="53" t="n"/>
      <c r="H84" s="53" t="n"/>
      <c r="I84" s="53" t="n"/>
      <c r="J84" s="23" t="n"/>
    </row>
    <row r="85" ht="15.75" customHeight="1" s="47">
      <c r="B85" s="51" t="inlineStr">
        <is>
          <t xml:space="preserve">  Фермерские хозяйства</t>
        </is>
      </c>
      <c r="C85" s="51" t="inlineStr">
        <is>
          <t>шт.</t>
        </is>
      </c>
      <c r="D85" s="52" t="n">
        <v>380</v>
      </c>
      <c r="E85" s="53" t="n"/>
      <c r="F85" s="53" t="n"/>
      <c r="G85" s="53" t="n"/>
      <c r="H85" s="53" t="n"/>
      <c r="I85" s="53" t="n"/>
      <c r="J85" s="23" t="n"/>
    </row>
    <row r="86" ht="15" customHeight="1" s="47">
      <c r="B86" s="51" t="inlineStr">
        <is>
          <t xml:space="preserve">  Прочие</t>
        </is>
      </c>
      <c r="C86" s="51" t="inlineStr">
        <is>
          <t>шт.</t>
        </is>
      </c>
      <c r="D86" s="52" t="n">
        <v>120</v>
      </c>
      <c r="E86" s="53" t="n"/>
      <c r="F86" s="53" t="n"/>
      <c r="G86" s="53" t="n"/>
      <c r="H86" s="53" t="n"/>
      <c r="I86" s="53" t="n"/>
      <c r="J86" s="54" t="inlineStr">
        <is>
          <t>—</t>
        </is>
      </c>
    </row>
    <row r="87" ht="15.75" customHeight="1" s="47">
      <c r="B87" s="51" t="inlineStr">
        <is>
          <t>Неактивных (приостановл.)</t>
        </is>
      </c>
      <c r="C87" s="51" t="inlineStr">
        <is>
          <t>шт.</t>
        </is>
      </c>
      <c r="D87" s="52" t="n">
        <v>1800</v>
      </c>
      <c r="E87" s="53" t="n"/>
      <c r="F87" s="53" t="n"/>
      <c r="G87" s="53" t="n"/>
      <c r="H87" s="53" t="n"/>
      <c r="I87" s="53" t="n"/>
      <c r="J87" s="54" t="inlineStr">
        <is>
          <t>—</t>
        </is>
      </c>
    </row>
    <row r="88" ht="15.75" customHeight="1" s="47">
      <c r="B88" s="51" t="inlineStr">
        <is>
          <t>Открыто новых за год</t>
        </is>
      </c>
      <c r="C88" s="51" t="inlineStr">
        <is>
          <t>шт.</t>
        </is>
      </c>
      <c r="D88" s="52" t="n">
        <v>2800</v>
      </c>
      <c r="E88" s="53" t="n"/>
      <c r="F88" s="53" t="n"/>
      <c r="G88" s="53" t="n"/>
      <c r="H88" s="53" t="n"/>
      <c r="I88" s="53" t="n"/>
      <c r="J88" s="23" t="n"/>
    </row>
    <row r="89" ht="15.75" customHeight="1" s="47">
      <c r="B89" s="51" t="inlineStr">
        <is>
          <t>Закрыто за год</t>
        </is>
      </c>
      <c r="C89" s="49" t="n"/>
      <c r="D89" s="49" t="n"/>
      <c r="E89" s="49" t="n"/>
      <c r="F89" s="49" t="n"/>
      <c r="G89" s="49" t="n"/>
      <c r="H89" s="49" t="n"/>
      <c r="I89" s="49" t="n"/>
      <c r="J89" s="50" t="n"/>
    </row>
    <row r="90" ht="15.75" customHeight="1" s="47">
      <c r="B90" s="51" t="inlineStr">
        <is>
          <t>Предприятий-экспортёров</t>
        </is>
      </c>
      <c r="C90" s="51" t="inlineStr">
        <is>
          <t>шт.</t>
        </is>
      </c>
      <c r="D90" s="52" t="n">
        <v>540</v>
      </c>
      <c r="E90" s="53" t="n"/>
      <c r="F90" s="53" t="n"/>
      <c r="G90" s="53" t="n"/>
      <c r="H90" s="53" t="n"/>
      <c r="I90" s="53" t="n"/>
      <c r="J90" s="23" t="n"/>
    </row>
    <row r="91" ht="15.75" customHeight="1" s="47">
      <c r="B91" s="48" t="inlineStr">
        <is>
          <t>8. Рынок труда</t>
        </is>
      </c>
      <c r="C91" s="49" t="n"/>
      <c r="D91" s="49" t="n"/>
      <c r="E91" s="49" t="n"/>
      <c r="F91" s="49" t="n"/>
      <c r="G91" s="49" t="n"/>
      <c r="H91" s="49" t="n"/>
      <c r="I91" s="49" t="n"/>
      <c r="J91" s="50" t="n"/>
    </row>
    <row r="92" ht="15.75" customHeight="1" s="47">
      <c r="B92" s="51" t="inlineStr">
        <is>
          <t>Экономически активное население</t>
        </is>
      </c>
      <c r="C92" s="51" t="inlineStr">
        <is>
          <t>чел.</t>
        </is>
      </c>
      <c r="D92" s="52" t="n">
        <v>156000</v>
      </c>
      <c r="E92" s="53" t="n"/>
      <c r="F92" s="53" t="n"/>
      <c r="G92" s="53" t="n"/>
      <c r="H92" s="53" t="n"/>
      <c r="I92" s="53" t="n"/>
      <c r="J92" s="54" t="inlineStr">
        <is>
          <t>—</t>
        </is>
      </c>
    </row>
    <row r="93" ht="15.75" customHeight="1" s="47">
      <c r="B93" s="51" t="inlineStr">
        <is>
          <t>Официально занятых</t>
        </is>
      </c>
      <c r="C93" s="51" t="inlineStr">
        <is>
          <t>тыс. чел.</t>
        </is>
      </c>
      <c r="D93" s="52" t="n">
        <v>103</v>
      </c>
      <c r="E93" s="53" t="n"/>
      <c r="F93" s="53" t="n"/>
      <c r="G93" s="53" t="n"/>
      <c r="H93" s="53" t="n"/>
      <c r="I93" s="53" t="n"/>
      <c r="J93" s="23" t="n"/>
    </row>
    <row r="94" ht="15.75" customHeight="1" s="47">
      <c r="B94" s="51" t="inlineStr">
        <is>
          <t>Неофициально занятых</t>
        </is>
      </c>
      <c r="C94" s="51" t="inlineStr">
        <is>
          <t>тыс. чел.</t>
        </is>
      </c>
      <c r="D94" s="52" t="n">
        <v>44</v>
      </c>
      <c r="E94" s="53" t="n"/>
      <c r="F94" s="53" t="n"/>
      <c r="G94" s="53" t="n"/>
      <c r="H94" s="53" t="n"/>
      <c r="I94" s="53" t="n"/>
      <c r="J94" s="54" t="inlineStr">
        <is>
          <t>—</t>
        </is>
      </c>
    </row>
    <row r="95" ht="15" customHeight="1" s="47">
      <c r="B95" s="51" t="inlineStr">
        <is>
          <t>Безработных</t>
        </is>
      </c>
      <c r="C95" s="51" t="inlineStr">
        <is>
          <t>чел.</t>
        </is>
      </c>
      <c r="D95" s="52" t="n">
        <v>9000</v>
      </c>
      <c r="E95" s="53" t="n"/>
      <c r="F95" s="53" t="n"/>
      <c r="G95" s="53" t="n"/>
      <c r="H95" s="53" t="n"/>
      <c r="I95" s="53" t="n"/>
      <c r="J95" s="23" t="n"/>
    </row>
    <row r="96" ht="15.75" customHeight="1" s="47">
      <c r="B96" s="27" t="inlineStr">
        <is>
          <t>Уровень безработицы</t>
        </is>
      </c>
      <c r="C96" s="27" t="inlineStr">
        <is>
          <t>%</t>
        </is>
      </c>
      <c r="D96" s="30">
        <f>D78/D75*100</f>
        <v/>
      </c>
      <c r="E96" s="30">
        <f>IFERROR(E78/E75*100,"")</f>
        <v/>
      </c>
      <c r="F96" s="30">
        <f>IFERROR(F78/F75*100,"")</f>
        <v/>
      </c>
      <c r="G96" s="30">
        <f>IFERROR(G78/G75*100,"")</f>
        <v/>
      </c>
      <c r="H96" s="30">
        <f>IFERROR(H78/H75*100,"")</f>
        <v/>
      </c>
      <c r="I96" s="30">
        <f>IFERROR(I78/I75*100,"")</f>
        <v/>
      </c>
      <c r="J96" s="31" t="inlineStr">
        <is>
          <t>—</t>
        </is>
      </c>
    </row>
    <row r="97" ht="15.75" customHeight="1" s="47">
      <c r="B97" s="27" t="inlineStr">
        <is>
          <t>Создано новых рабочих мест за год</t>
        </is>
      </c>
      <c r="C97" s="27" t="inlineStr">
        <is>
          <t>раб. мест</t>
        </is>
      </c>
      <c r="D97" s="32" t="n">
        <v>3500</v>
      </c>
      <c r="E97" s="33" t="n"/>
      <c r="F97" s="33" t="n"/>
      <c r="G97" s="33" t="n"/>
      <c r="H97" s="33" t="n"/>
      <c r="I97" s="33" t="n"/>
      <c r="J97" s="29" t="n"/>
    </row>
    <row r="98" ht="15.75" customHeight="1" s="47">
      <c r="B98" s="51" t="inlineStr">
        <is>
          <t>Трудовых мигрантов за рубежом</t>
        </is>
      </c>
      <c r="C98" s="51" t="inlineStr">
        <is>
          <t>чел.</t>
        </is>
      </c>
      <c r="D98" s="52" t="n">
        <v>10000</v>
      </c>
      <c r="E98" s="53" t="n"/>
      <c r="F98" s="53" t="n"/>
      <c r="G98" s="53" t="n"/>
      <c r="H98" s="53" t="n"/>
      <c r="I98" s="53" t="n"/>
      <c r="J98" s="54" t="inlineStr">
        <is>
          <t>—</t>
        </is>
      </c>
    </row>
    <row r="99" ht="15.75" customHeight="1" s="47">
      <c r="B99" s="51" t="inlineStr">
        <is>
          <t>Средняя номинальная зарплата – всего</t>
        </is>
      </c>
      <c r="C99" s="51" t="inlineStr">
        <is>
          <t>тыс. сум/мес</t>
        </is>
      </c>
      <c r="D99" s="52" t="n">
        <v>5300</v>
      </c>
      <c r="E99" s="53" t="n"/>
      <c r="F99" s="53" t="n"/>
      <c r="G99" s="53" t="n"/>
      <c r="H99" s="53" t="n"/>
      <c r="I99" s="53" t="n"/>
      <c r="J99" s="23" t="n"/>
    </row>
    <row r="100" ht="15.75" customHeight="1" s="47">
      <c r="B100" s="51" t="inlineStr">
        <is>
          <t xml:space="preserve">  в промышленности</t>
        </is>
      </c>
      <c r="C100" s="51" t="inlineStr">
        <is>
          <t>тыс. сум/мес</t>
        </is>
      </c>
      <c r="D100" s="52" t="n">
        <v>6500</v>
      </c>
      <c r="E100" s="53" t="n"/>
      <c r="F100" s="53" t="n"/>
      <c r="G100" s="53" t="n"/>
      <c r="H100" s="53" t="n"/>
      <c r="I100" s="53" t="n"/>
      <c r="J100" s="23" t="n"/>
    </row>
    <row r="101" ht="15.75" customHeight="1" s="47">
      <c r="B101" s="51" t="inlineStr">
        <is>
          <t xml:space="preserve">  в услугах</t>
        </is>
      </c>
      <c r="C101" s="49" t="n"/>
      <c r="D101" s="49" t="n"/>
      <c r="E101" s="49" t="n"/>
      <c r="F101" s="49" t="n"/>
      <c r="G101" s="49" t="n"/>
      <c r="H101" s="49" t="n"/>
      <c r="I101" s="49" t="n"/>
      <c r="J101" s="50" t="n"/>
    </row>
    <row r="102" ht="15.75" customHeight="1" s="47">
      <c r="B102" s="51" t="inlineStr">
        <is>
          <t xml:space="preserve">  в торговле</t>
        </is>
      </c>
      <c r="C102" s="51" t="inlineStr">
        <is>
          <t>тыс. сум/мес</t>
        </is>
      </c>
      <c r="D102" s="52" t="n">
        <v>5200</v>
      </c>
      <c r="E102" s="53" t="n"/>
      <c r="F102" s="53" t="n"/>
      <c r="G102" s="53" t="n"/>
      <c r="H102" s="53" t="n"/>
      <c r="I102" s="53" t="n"/>
      <c r="J102" s="23" t="n"/>
    </row>
    <row r="103" ht="15.75" customHeight="1" s="47">
      <c r="B103" s="51" t="inlineStr">
        <is>
          <t xml:space="preserve">  в строительстве</t>
        </is>
      </c>
      <c r="C103" s="51" t="inlineStr">
        <is>
          <t>тыс. сум/мес</t>
        </is>
      </c>
      <c r="D103" s="52" t="n">
        <v>6100</v>
      </c>
      <c r="E103" s="53" t="n"/>
      <c r="F103" s="53" t="n"/>
      <c r="G103" s="53" t="n"/>
      <c r="H103" s="53" t="n"/>
      <c r="I103" s="53" t="n"/>
      <c r="J103" s="23" t="n"/>
    </row>
    <row r="104" ht="15.75" customHeight="1" s="47">
      <c r="B104" s="51" t="inlineStr">
        <is>
          <t xml:space="preserve">  в бюджетной сфере</t>
        </is>
      </c>
      <c r="C104" s="51" t="inlineStr">
        <is>
          <t>тыс. сум/мес</t>
        </is>
      </c>
      <c r="D104" s="52" t="n">
        <v>4250</v>
      </c>
      <c r="E104" s="53" t="n"/>
      <c r="F104" s="53" t="n"/>
      <c r="G104" s="53" t="n"/>
      <c r="H104" s="53" t="n"/>
      <c r="I104" s="53" t="n"/>
      <c r="J104" s="23" t="n"/>
    </row>
    <row r="105" ht="15" customHeight="1" s="47">
      <c r="B105" s="51" t="inlineStr">
        <is>
          <t xml:space="preserve">  в сельском хозяйстве</t>
        </is>
      </c>
      <c r="C105" s="51" t="inlineStr">
        <is>
          <t>тыс. сум/мес</t>
        </is>
      </c>
      <c r="D105" s="52" t="n">
        <v>3850</v>
      </c>
      <c r="E105" s="53" t="n"/>
      <c r="F105" s="53" t="n"/>
      <c r="G105" s="53" t="n"/>
      <c r="H105" s="53" t="n"/>
      <c r="I105" s="53" t="n"/>
      <c r="J105" s="23" t="n"/>
    </row>
    <row r="106" ht="15.75" customHeight="1" s="47">
      <c r="B106" s="48" t="inlineStr">
        <is>
          <t>9. Бедность и социальная сфера</t>
        </is>
      </c>
      <c r="C106" s="49" t="n"/>
      <c r="D106" s="49" t="n"/>
      <c r="E106" s="49" t="n"/>
      <c r="F106" s="49" t="n"/>
      <c r="G106" s="49" t="n"/>
      <c r="H106" s="49" t="n"/>
      <c r="I106" s="49" t="n"/>
      <c r="J106" s="50" t="n"/>
    </row>
    <row r="107" ht="15.75" customHeight="1" s="47">
      <c r="B107" s="51" t="inlineStr">
        <is>
          <t>Семей в Социальном реестре</t>
        </is>
      </c>
      <c r="C107" s="51" t="inlineStr">
        <is>
          <t>семей</t>
        </is>
      </c>
      <c r="D107" s="52" t="n">
        <v>4400</v>
      </c>
      <c r="E107" s="53" t="n"/>
      <c r="F107" s="53" t="n"/>
      <c r="G107" s="53" t="n"/>
      <c r="H107" s="53" t="n"/>
      <c r="I107" s="53" t="n"/>
      <c r="J107" s="23" t="n"/>
    </row>
    <row r="108" ht="15.75" customHeight="1" s="47">
      <c r="B108" s="51" t="inlineStr">
        <is>
          <t>Семей в бедности на начало года</t>
        </is>
      </c>
      <c r="C108" s="51" t="inlineStr">
        <is>
          <t>семей</t>
        </is>
      </c>
      <c r="D108" s="52" t="n">
        <v>4460</v>
      </c>
      <c r="E108" s="53" t="n"/>
      <c r="F108" s="53" t="n"/>
      <c r="G108" s="53" t="n"/>
      <c r="H108" s="53" t="n"/>
      <c r="I108" s="53" t="n"/>
      <c r="J108" s="54" t="inlineStr">
        <is>
          <t>—</t>
        </is>
      </c>
    </row>
    <row r="109" ht="15.75" customHeight="1" s="47">
      <c r="B109" s="51" t="inlineStr">
        <is>
          <t>Семей в бедности на конец года</t>
        </is>
      </c>
      <c r="C109" s="51" t="inlineStr">
        <is>
          <t>семей</t>
        </is>
      </c>
      <c r="D109" s="52" t="n">
        <v>3600</v>
      </c>
      <c r="E109" s="53" t="n"/>
      <c r="F109" s="53" t="n"/>
      <c r="G109" s="53" t="n"/>
      <c r="H109" s="53" t="n"/>
      <c r="I109" s="53" t="n"/>
      <c r="J109" s="23" t="n"/>
    </row>
    <row r="110" ht="15.75" customHeight="1" s="47">
      <c r="B110" s="27" t="inlineStr">
        <is>
          <t>Покрытие Соц. реестром (от семей в бедности нач. года), %</t>
        </is>
      </c>
      <c r="C110" s="27" t="inlineStr">
        <is>
          <t>%</t>
        </is>
      </c>
      <c r="D110" s="30">
        <f>D90/D91*100</f>
        <v/>
      </c>
      <c r="E110" s="30">
        <f>IFERROR(E90/E91*100,"")</f>
        <v/>
      </c>
      <c r="F110" s="30">
        <f>IFERROR(F90/F91*100,"")</f>
        <v/>
      </c>
      <c r="G110" s="30">
        <f>IFERROR(G90/G91*100,"")</f>
        <v/>
      </c>
      <c r="H110" s="30">
        <f>IFERROR(H90/H91*100,"")</f>
        <v/>
      </c>
      <c r="I110" s="30">
        <f>IFERROR(I90/I91*100,"")</f>
        <v/>
      </c>
      <c r="J110" s="31" t="inlineStr">
        <is>
          <t>—</t>
        </is>
      </c>
    </row>
    <row r="111" ht="15.75" customHeight="1" s="47">
      <c r="B111" s="51" t="inlineStr">
        <is>
          <t>Пенсионеров</t>
        </is>
      </c>
      <c r="C111" s="49" t="n"/>
      <c r="D111" s="49" t="n"/>
      <c r="E111" s="49" t="n"/>
      <c r="F111" s="49" t="n"/>
      <c r="G111" s="49" t="n"/>
      <c r="H111" s="49" t="n"/>
      <c r="I111" s="49" t="n"/>
      <c r="J111" s="50" t="n"/>
    </row>
    <row r="112" ht="15" customHeight="1" s="47">
      <c r="B112" s="51" t="inlineStr">
        <is>
          <t>Родившихся за год</t>
        </is>
      </c>
      <c r="C112" s="51" t="inlineStr">
        <is>
          <t>чел.</t>
        </is>
      </c>
      <c r="D112" s="52" t="n">
        <v>7100</v>
      </c>
      <c r="E112" s="53" t="n"/>
      <c r="F112" s="53" t="n"/>
      <c r="G112" s="53" t="n"/>
      <c r="H112" s="53" t="n"/>
      <c r="I112" s="53" t="n"/>
      <c r="J112" s="54" t="inlineStr">
        <is>
          <t>—</t>
        </is>
      </c>
    </row>
    <row r="113" ht="15.75" customHeight="1" s="47">
      <c r="B113" s="51" t="inlineStr">
        <is>
          <t>Умерших за год</t>
        </is>
      </c>
      <c r="C113" s="51" t="inlineStr">
        <is>
          <t>чел.</t>
        </is>
      </c>
      <c r="D113" s="52" t="n">
        <v>2000</v>
      </c>
      <c r="E113" s="53" t="n"/>
      <c r="F113" s="53" t="n"/>
      <c r="G113" s="53" t="n"/>
      <c r="H113" s="53" t="n"/>
      <c r="I113" s="53" t="n"/>
      <c r="J113" s="54" t="inlineStr">
        <is>
          <t>—</t>
        </is>
      </c>
    </row>
    <row r="114" ht="15.75" customHeight="1" s="47">
      <c r="B114" s="51" t="inlineStr">
        <is>
          <t>Эмиграция</t>
        </is>
      </c>
      <c r="C114" s="51" t="inlineStr">
        <is>
          <t>чел.</t>
        </is>
      </c>
      <c r="D114" s="52" t="n">
        <v>800</v>
      </c>
      <c r="E114" s="53" t="n"/>
      <c r="F114" s="53" t="n"/>
      <c r="G114" s="53" t="n"/>
      <c r="H114" s="53" t="n"/>
      <c r="I114" s="53" t="n"/>
      <c r="J114" s="54" t="inlineStr">
        <is>
          <t>—</t>
        </is>
      </c>
    </row>
    <row r="115" ht="15.75" customHeight="1" s="47">
      <c r="B115" s="51" t="inlineStr">
        <is>
          <t>Иммиграция</t>
        </is>
      </c>
      <c r="C115" s="51" t="inlineStr">
        <is>
          <t>чел.</t>
        </is>
      </c>
      <c r="D115" s="52" t="n">
        <v>1300</v>
      </c>
      <c r="E115" s="53" t="n"/>
      <c r="F115" s="53" t="n"/>
      <c r="G115" s="53" t="n"/>
      <c r="H115" s="53" t="n"/>
      <c r="I115" s="53" t="n"/>
      <c r="J115" s="54" t="inlineStr">
        <is>
          <t>—</t>
        </is>
      </c>
    </row>
    <row r="116" ht="15.75" customHeight="1" s="47">
      <c r="B116" s="27" t="inlineStr">
        <is>
          <t>Заключено браков за год</t>
        </is>
      </c>
      <c r="C116" s="27" t="inlineStr">
        <is>
          <t>браков</t>
        </is>
      </c>
      <c r="D116" s="32" t="n">
        <v>2400</v>
      </c>
      <c r="E116" s="33" t="n"/>
      <c r="F116" s="33" t="n"/>
      <c r="G116" s="33" t="n"/>
      <c r="H116" s="33" t="n"/>
      <c r="I116" s="33" t="n"/>
      <c r="J116" s="29" t="n"/>
    </row>
    <row r="117" ht="15.75" customHeight="1" s="47">
      <c r="B117" s="27" t="inlineStr">
        <is>
          <t>Разводов за год</t>
        </is>
      </c>
      <c r="C117" s="27" t="inlineStr">
        <is>
          <t>разводов</t>
        </is>
      </c>
      <c r="D117" s="32" t="n">
        <v>580</v>
      </c>
      <c r="E117" s="33" t="n"/>
      <c r="F117" s="33" t="n"/>
      <c r="G117" s="33" t="n"/>
      <c r="H117" s="33" t="n"/>
      <c r="I117" s="33" t="n"/>
      <c r="J117" s="29" t="n"/>
    </row>
    <row r="118" ht="15.75" customHeight="1" s="47">
      <c r="B118" s="48" t="inlineStr">
        <is>
          <t>10. Образование</t>
        </is>
      </c>
      <c r="C118" s="49" t="n"/>
      <c r="D118" s="49" t="n"/>
      <c r="E118" s="49" t="n"/>
      <c r="F118" s="49" t="n"/>
      <c r="G118" s="49" t="n"/>
      <c r="H118" s="49" t="n"/>
      <c r="I118" s="49" t="n"/>
      <c r="J118" s="50" t="n"/>
    </row>
    <row r="119" ht="15.75" customHeight="1" s="47">
      <c r="B119" s="51" t="inlineStr">
        <is>
          <t>Школ (общеобразовательных)</t>
        </is>
      </c>
      <c r="C119" s="51" t="inlineStr">
        <is>
          <t>шт.</t>
        </is>
      </c>
      <c r="D119" s="52" t="n">
        <v>69</v>
      </c>
      <c r="E119" s="53" t="n"/>
      <c r="F119" s="53" t="n"/>
      <c r="G119" s="53" t="n"/>
      <c r="H119" s="53" t="n"/>
      <c r="I119" s="53" t="n"/>
      <c r="J119" s="23" t="n"/>
    </row>
    <row r="120" ht="15.75" customHeight="1" s="47">
      <c r="B120" s="51" t="inlineStr">
        <is>
          <t xml:space="preserve">  Учеников в школах</t>
        </is>
      </c>
      <c r="C120" s="51" t="inlineStr">
        <is>
          <t>чел.</t>
        </is>
      </c>
      <c r="D120" s="52" t="n">
        <v>61500</v>
      </c>
      <c r="E120" s="53" t="n"/>
      <c r="F120" s="53" t="n"/>
      <c r="G120" s="53" t="n"/>
      <c r="H120" s="53" t="n"/>
      <c r="I120" s="53" t="n"/>
      <c r="J120" s="54" t="inlineStr">
        <is>
          <t>—</t>
        </is>
      </c>
    </row>
    <row r="121" ht="15.75" customHeight="1" s="47">
      <c r="B121" s="51" t="inlineStr">
        <is>
          <t xml:space="preserve">  Учителей</t>
        </is>
      </c>
      <c r="C121" s="51" t="inlineStr">
        <is>
          <t>чел.</t>
        </is>
      </c>
      <c r="D121" s="52" t="n">
        <v>4400</v>
      </c>
      <c r="E121" s="53" t="n"/>
      <c r="F121" s="53" t="n"/>
      <c r="G121" s="53" t="n"/>
      <c r="H121" s="53" t="n"/>
      <c r="I121" s="53" t="n"/>
      <c r="J121" s="23" t="n"/>
    </row>
    <row r="122" ht="15.75" customHeight="1" s="47">
      <c r="B122" s="51" t="inlineStr">
        <is>
          <t>Колледжей / техникумов</t>
        </is>
      </c>
      <c r="C122" s="51" t="inlineStr">
        <is>
          <t>шт.</t>
        </is>
      </c>
      <c r="D122" s="52" t="n">
        <v>11</v>
      </c>
      <c r="E122" s="53" t="n"/>
      <c r="F122" s="53" t="n"/>
      <c r="G122" s="53" t="n"/>
      <c r="H122" s="53" t="n"/>
      <c r="I122" s="53" t="n"/>
      <c r="J122" s="23" t="n"/>
    </row>
    <row r="123" ht="15.75" customHeight="1" s="47">
      <c r="B123" s="51" t="inlineStr">
        <is>
          <t xml:space="preserve">  Студентов в колледжах</t>
        </is>
      </c>
      <c r="C123" s="51" t="inlineStr">
        <is>
          <t>чел.</t>
        </is>
      </c>
      <c r="D123" s="52" t="n">
        <v>8500</v>
      </c>
      <c r="E123" s="53" t="n"/>
      <c r="F123" s="53" t="n"/>
      <c r="G123" s="53" t="n"/>
      <c r="H123" s="53" t="n"/>
      <c r="I123" s="53" t="n"/>
      <c r="J123" s="54" t="inlineStr">
        <is>
          <t>—</t>
        </is>
      </c>
    </row>
    <row r="124" ht="15.75" customHeight="1" s="47">
      <c r="B124" s="51" t="inlineStr">
        <is>
          <t>Вузов</t>
        </is>
      </c>
      <c r="C124" s="51" t="inlineStr">
        <is>
          <t>шт.</t>
        </is>
      </c>
      <c r="D124" s="52" t="n">
        <v>5</v>
      </c>
      <c r="E124" s="53" t="n"/>
      <c r="F124" s="53" t="n"/>
      <c r="G124" s="53" t="n"/>
      <c r="H124" s="53" t="n"/>
      <c r="I124" s="53" t="n"/>
      <c r="J124" s="23" t="n"/>
    </row>
    <row r="125" ht="15.75" customHeight="1" s="47">
      <c r="B125" s="51" t="inlineStr">
        <is>
          <t xml:space="preserve">  Студентов в вузах</t>
        </is>
      </c>
      <c r="C125" s="51" t="inlineStr">
        <is>
          <t>чел.</t>
        </is>
      </c>
      <c r="D125" s="52" t="n">
        <v>25000</v>
      </c>
      <c r="E125" s="53" t="n"/>
      <c r="F125" s="53" t="n"/>
      <c r="G125" s="53" t="n"/>
      <c r="H125" s="53" t="n"/>
      <c r="I125" s="53" t="n"/>
      <c r="J125" s="54" t="inlineStr">
        <is>
          <t>—</t>
        </is>
      </c>
    </row>
    <row r="126" ht="15.75" customHeight="1" s="47">
      <c r="B126" s="51" t="inlineStr">
        <is>
          <t>Детских садов (МТМ)</t>
        </is>
      </c>
      <c r="C126" s="51" t="inlineStr">
        <is>
          <t>шт.</t>
        </is>
      </c>
      <c r="D126" s="52" t="n">
        <v>178</v>
      </c>
      <c r="E126" s="53" t="n"/>
      <c r="F126" s="53" t="n"/>
      <c r="G126" s="53" t="n"/>
      <c r="H126" s="53" t="n"/>
      <c r="I126" s="53" t="n"/>
      <c r="J126" s="23" t="n"/>
    </row>
    <row r="127" ht="15.75" customHeight="1" s="47">
      <c r="B127" s="51" t="inlineStr">
        <is>
          <t xml:space="preserve">  Детей в детсадах</t>
        </is>
      </c>
      <c r="C127" s="51" t="inlineStr">
        <is>
          <t>чел.</t>
        </is>
      </c>
      <c r="D127" s="52" t="n">
        <v>23800</v>
      </c>
      <c r="E127" s="53" t="n"/>
      <c r="F127" s="53" t="n"/>
      <c r="G127" s="53" t="n"/>
      <c r="H127" s="53" t="n"/>
      <c r="I127" s="53" t="n"/>
      <c r="J127" s="23" t="n"/>
    </row>
    <row r="128" ht="15.75" customHeight="1" s="47">
      <c r="B128" s="48" t="inlineStr">
        <is>
          <t>11. Здравоохранение</t>
        </is>
      </c>
      <c r="C128" s="49" t="n"/>
      <c r="D128" s="49" t="n"/>
      <c r="E128" s="49" t="n"/>
      <c r="F128" s="49" t="n"/>
      <c r="G128" s="49" t="n"/>
      <c r="H128" s="49" t="n"/>
      <c r="I128" s="49" t="n"/>
      <c r="J128" s="50" t="n"/>
    </row>
    <row r="129" ht="15.75" customHeight="1" s="47">
      <c r="B129" s="51" t="inlineStr">
        <is>
          <t>Больниц</t>
        </is>
      </c>
      <c r="C129" s="51" t="inlineStr">
        <is>
          <t>шт.</t>
        </is>
      </c>
      <c r="D129" s="52" t="n">
        <v>10</v>
      </c>
      <c r="E129" s="53" t="n"/>
      <c r="F129" s="53" t="n"/>
      <c r="G129" s="53" t="n"/>
      <c r="H129" s="53" t="n"/>
      <c r="I129" s="53" t="n"/>
      <c r="J129" s="23" t="n"/>
    </row>
    <row r="130" ht="15" customHeight="1" s="47">
      <c r="B130" s="51" t="inlineStr">
        <is>
          <t>Поликлиник / ЦРП</t>
        </is>
      </c>
      <c r="C130" s="51" t="inlineStr">
        <is>
          <t>шт.</t>
        </is>
      </c>
      <c r="D130" s="52" t="n">
        <v>29</v>
      </c>
      <c r="E130" s="53" t="n"/>
      <c r="F130" s="53" t="n"/>
      <c r="G130" s="53" t="n"/>
      <c r="H130" s="53" t="n"/>
      <c r="I130" s="53" t="n"/>
      <c r="J130" s="23" t="n"/>
    </row>
    <row r="131" ht="15.75" customHeight="1" s="47">
      <c r="B131" s="51" t="inlineStr">
        <is>
          <t>Койко-мест</t>
        </is>
      </c>
      <c r="C131" s="51" t="inlineStr">
        <is>
          <t>шт.</t>
        </is>
      </c>
      <c r="D131" s="52" t="n">
        <v>2700</v>
      </c>
      <c r="E131" s="53" t="n"/>
      <c r="F131" s="53" t="n"/>
      <c r="G131" s="53" t="n"/>
      <c r="H131" s="53" t="n"/>
      <c r="I131" s="53" t="n"/>
      <c r="J131" s="23" t="n"/>
    </row>
    <row r="132" ht="15.75" customHeight="1" s="47">
      <c r="B132" s="51" t="inlineStr">
        <is>
          <t>Врачей</t>
        </is>
      </c>
      <c r="C132" s="51" t="inlineStr">
        <is>
          <t>чел.</t>
        </is>
      </c>
      <c r="D132" s="52" t="n">
        <v>2160</v>
      </c>
      <c r="E132" s="53" t="n"/>
      <c r="F132" s="53" t="n"/>
      <c r="G132" s="53" t="n"/>
      <c r="H132" s="53" t="n"/>
      <c r="I132" s="53" t="n"/>
      <c r="J132" s="23" t="n"/>
    </row>
    <row r="133" ht="15.75" customHeight="1" s="47">
      <c r="B133" s="51" t="inlineStr">
        <is>
          <t>Медсестёр и ср. мед. персонала</t>
        </is>
      </c>
      <c r="C133" s="51" t="inlineStr">
        <is>
          <t>чел.</t>
        </is>
      </c>
      <c r="D133" s="52" t="n">
        <v>4870</v>
      </c>
      <c r="E133" s="53" t="n"/>
      <c r="F133" s="53" t="n"/>
      <c r="G133" s="53" t="n"/>
      <c r="H133" s="53" t="n"/>
      <c r="I133" s="53" t="n"/>
      <c r="J133" s="23" t="n"/>
    </row>
    <row r="134" ht="15.75" customHeight="1" s="47">
      <c r="B134" s="51" t="inlineStr">
        <is>
          <t>Младенческая смертность (на 1000 родившихся)</t>
        </is>
      </c>
      <c r="C134" s="51" t="inlineStr">
        <is>
          <t>‰</t>
        </is>
      </c>
      <c r="D134" s="55" t="n">
        <v>7.2</v>
      </c>
      <c r="E134" s="56" t="n"/>
      <c r="F134" s="56" t="n"/>
      <c r="G134" s="56" t="n"/>
      <c r="H134" s="56" t="n"/>
      <c r="I134" s="56" t="n"/>
      <c r="J134" s="57" t="n"/>
    </row>
    <row r="135" ht="15.75" customHeight="1" s="47">
      <c r="B135" s="51" t="inlineStr">
        <is>
          <t>Рождений (всего)</t>
        </is>
      </c>
      <c r="C135" s="51" t="inlineStr">
        <is>
          <t>чел.</t>
        </is>
      </c>
      <c r="D135" s="55" t="n">
        <v>6900</v>
      </c>
      <c r="E135" s="56" t="n"/>
      <c r="F135" s="56" t="n"/>
      <c r="G135" s="56" t="n"/>
      <c r="H135" s="56" t="n"/>
      <c r="I135" s="56" t="n"/>
      <c r="J135" s="57" t="n"/>
    </row>
    <row r="136" ht="15.75" customHeight="1" s="47">
      <c r="B136" s="51" t="inlineStr">
        <is>
          <t>Смертей (всего)</t>
        </is>
      </c>
      <c r="C136" s="0" t="inlineStr">
        <is>
          <t>чел.</t>
        </is>
      </c>
      <c r="D136" s="0" t="n">
        <v>1500</v>
      </c>
    </row>
    <row r="137" ht="15.75" customHeight="1" s="47">
      <c r="B137" s="48" t="inlineStr">
        <is>
          <t>12. Банковский сектор</t>
        </is>
      </c>
      <c r="C137" s="49" t="n"/>
      <c r="D137" s="49" t="n"/>
      <c r="E137" s="49" t="n"/>
      <c r="F137" s="49" t="n"/>
      <c r="G137" s="49" t="n"/>
      <c r="H137" s="49" t="n"/>
      <c r="I137" s="49" t="n"/>
      <c r="J137" s="50" t="n"/>
    </row>
    <row r="138" ht="15" customHeight="1" s="47">
      <c r="B138" s="51" t="inlineStr">
        <is>
          <t>Кредитный портфель – всего</t>
        </is>
      </c>
      <c r="C138" s="51" t="inlineStr">
        <is>
          <t>млрд сум</t>
        </is>
      </c>
      <c r="D138" s="24" t="n">
        <v>4700</v>
      </c>
      <c r="E138" s="25" t="n"/>
      <c r="F138" s="25" t="n"/>
      <c r="G138" s="25" t="n"/>
      <c r="H138" s="25" t="n"/>
      <c r="I138" s="25" t="n"/>
      <c r="J138" s="26" t="n"/>
    </row>
    <row r="139" ht="15.75" customHeight="1" s="47">
      <c r="B139" s="51" t="inlineStr">
        <is>
          <t xml:space="preserve">  Кредиты МСБ</t>
        </is>
      </c>
      <c r="C139" s="51" t="inlineStr">
        <is>
          <t>млрд сум</t>
        </is>
      </c>
      <c r="D139" s="24" t="n">
        <v>1410</v>
      </c>
      <c r="E139" s="25" t="n"/>
      <c r="F139" s="25" t="n"/>
      <c r="G139" s="25" t="n"/>
      <c r="H139" s="25" t="n"/>
      <c r="I139" s="25" t="n"/>
      <c r="J139" s="26" t="n"/>
    </row>
    <row r="140" ht="15.75" customHeight="1" s="47">
      <c r="B140" s="51" t="inlineStr">
        <is>
          <t xml:space="preserve">  Кредиты экспортёрам</t>
        </is>
      </c>
      <c r="C140" s="51" t="inlineStr">
        <is>
          <t>млрд сум</t>
        </is>
      </c>
      <c r="D140" s="24" t="n">
        <v>580</v>
      </c>
      <c r="E140" s="25" t="n"/>
      <c r="F140" s="25" t="n"/>
      <c r="G140" s="25" t="n"/>
      <c r="H140" s="25" t="n"/>
      <c r="I140" s="25" t="n"/>
      <c r="J140" s="26" t="n"/>
    </row>
    <row r="141" ht="15.75" customHeight="1" s="47">
      <c r="B141" s="51" t="inlineStr">
        <is>
          <t xml:space="preserve">  Кредиты физлицам</t>
        </is>
      </c>
      <c r="C141" s="51" t="inlineStr">
        <is>
          <t>млрд сум</t>
        </is>
      </c>
      <c r="D141" s="24" t="n">
        <v>1980</v>
      </c>
      <c r="E141" s="25" t="n"/>
      <c r="F141" s="25" t="n"/>
      <c r="G141" s="25" t="n"/>
      <c r="H141" s="25" t="n"/>
      <c r="I141" s="25" t="n"/>
      <c r="J141" s="26" t="n"/>
    </row>
    <row r="142" ht="15.75" customHeight="1" s="47">
      <c r="B142" s="51" t="inlineStr">
        <is>
          <t xml:space="preserve">  в т.ч. ипотечные / ИЖС</t>
        </is>
      </c>
      <c r="C142" s="51" t="inlineStr">
        <is>
          <t>млрд сум</t>
        </is>
      </c>
      <c r="D142" s="24" t="n">
        <v>720</v>
      </c>
      <c r="E142" s="25" t="n"/>
      <c r="F142" s="25" t="n"/>
      <c r="G142" s="25" t="n"/>
      <c r="H142" s="25" t="n"/>
      <c r="I142" s="25" t="n"/>
      <c r="J142" s="26" t="n"/>
    </row>
    <row r="143" ht="15.75" customHeight="1" s="47">
      <c r="B143" s="51" t="inlineStr">
        <is>
          <t xml:space="preserve">  Прочие кредиты</t>
        </is>
      </c>
      <c r="C143" s="51" t="inlineStr">
        <is>
          <t>млрд сум</t>
        </is>
      </c>
      <c r="D143" s="24" t="n">
        <v>730</v>
      </c>
      <c r="E143" s="25" t="n"/>
      <c r="F143" s="25" t="n"/>
      <c r="G143" s="25" t="n"/>
      <c r="H143" s="25" t="n"/>
      <c r="I143" s="25" t="n"/>
      <c r="J143" s="26" t="n"/>
    </row>
    <row r="144" ht="15.75" customHeight="1" s="47">
      <c r="B144" s="51" t="inlineStr">
        <is>
          <t>Выдано кредитов за год</t>
        </is>
      </c>
      <c r="C144" s="49" t="n"/>
      <c r="D144" s="49" t="n"/>
      <c r="E144" s="49" t="n"/>
      <c r="F144" s="49" t="n"/>
      <c r="G144" s="49" t="n"/>
      <c r="H144" s="49" t="n"/>
      <c r="I144" s="49" t="n"/>
      <c r="J144" s="50" t="n"/>
    </row>
    <row r="145" ht="15" customHeight="1" s="47">
      <c r="B145" s="51" t="inlineStr">
        <is>
          <t>Депозитный портфель – всего</t>
        </is>
      </c>
      <c r="C145" s="51" t="inlineStr">
        <is>
          <t>млрд сум</t>
        </is>
      </c>
      <c r="D145" s="24" t="n">
        <v>3020</v>
      </c>
      <c r="E145" s="25" t="n"/>
      <c r="F145" s="25" t="n"/>
      <c r="G145" s="25" t="n"/>
      <c r="H145" s="25" t="n"/>
      <c r="I145" s="25" t="n"/>
      <c r="J145" s="26" t="n"/>
    </row>
    <row r="146" ht="15.75" customHeight="1" s="47">
      <c r="B146" s="51" t="inlineStr">
        <is>
          <t xml:space="preserve">  Депозиты юр. лиц</t>
        </is>
      </c>
      <c r="C146" s="51" t="inlineStr">
        <is>
          <t>млрд сум</t>
        </is>
      </c>
      <c r="D146" s="24" t="n">
        <v>1770</v>
      </c>
      <c r="E146" s="25" t="n"/>
      <c r="F146" s="25" t="n"/>
      <c r="G146" s="25" t="n"/>
      <c r="H146" s="25" t="n"/>
      <c r="I146" s="25" t="n"/>
      <c r="J146" s="26" t="n"/>
    </row>
    <row r="147" ht="15.75" customHeight="1" s="47">
      <c r="B147" s="51" t="inlineStr">
        <is>
          <t xml:space="preserve">  Депозиты физ. лиц</t>
        </is>
      </c>
      <c r="C147" s="51" t="inlineStr">
        <is>
          <t>млрд сум</t>
        </is>
      </c>
      <c r="D147" s="24" t="n">
        <v>1250</v>
      </c>
      <c r="E147" s="25" t="n"/>
      <c r="F147" s="25" t="n"/>
      <c r="G147" s="25" t="n"/>
      <c r="H147" s="25" t="n"/>
      <c r="I147" s="25" t="n"/>
      <c r="J147" s="26" t="n"/>
    </row>
    <row r="148" ht="15.75" customHeight="1" s="47">
      <c r="B148" s="51" t="inlineStr">
        <is>
          <t>Просроченная задолженность (NPL)</t>
        </is>
      </c>
      <c r="C148" s="51" t="inlineStr">
        <is>
          <t>млрд сум</t>
        </is>
      </c>
      <c r="D148" s="24" t="n">
        <v>150</v>
      </c>
      <c r="E148" s="25" t="n"/>
      <c r="F148" s="25" t="n"/>
      <c r="G148" s="25" t="n"/>
      <c r="H148" s="25" t="n"/>
      <c r="I148" s="25" t="n"/>
      <c r="J148" s="26" t="n"/>
    </row>
    <row r="149" ht="15.75" customHeight="1" s="47">
      <c r="B149" s="51" t="inlineStr">
        <is>
          <t>Кредитов выдано МСБ (кол-во)</t>
        </is>
      </c>
      <c r="C149" s="51" t="inlineStr">
        <is>
          <t>шт.</t>
        </is>
      </c>
      <c r="D149" s="52" t="n">
        <v>6300</v>
      </c>
      <c r="E149" s="53" t="n"/>
      <c r="F149" s="53" t="n"/>
      <c r="G149" s="53" t="n"/>
      <c r="H149" s="53" t="n"/>
      <c r="I149" s="53" t="n"/>
      <c r="J149" s="23" t="n"/>
    </row>
    <row r="150" ht="15.75" customHeight="1" s="47">
      <c r="B150" s="51" t="inlineStr">
        <is>
          <t>Кредитов выдано экспортёрам (кол-во)</t>
        </is>
      </c>
      <c r="C150" s="51" t="inlineStr">
        <is>
          <t>шт.</t>
        </is>
      </c>
      <c r="D150" s="52" t="n">
        <v>380</v>
      </c>
      <c r="E150" s="53" t="n"/>
      <c r="F150" s="53" t="n"/>
      <c r="G150" s="53" t="n"/>
      <c r="H150" s="53" t="n"/>
      <c r="I150" s="53" t="n"/>
      <c r="J150" s="23" t="n"/>
    </row>
    <row r="151" ht="15.75" customHeight="1" s="47">
      <c r="B151" s="51" t="inlineStr">
        <is>
          <t>Кредитов выдано занятым (кол-во)</t>
        </is>
      </c>
      <c r="C151" s="49" t="n"/>
      <c r="D151" s="49" t="n"/>
      <c r="E151" s="49" t="n"/>
      <c r="F151" s="49" t="n"/>
      <c r="G151" s="49" t="n"/>
      <c r="H151" s="49" t="n"/>
      <c r="I151" s="49" t="n"/>
      <c r="J151" s="50" t="n"/>
    </row>
    <row r="152" ht="15.75" customHeight="1" s="47">
      <c r="B152" s="51" t="inlineStr">
        <is>
          <t>Кредитов выдано самозанятым (кол-во)</t>
        </is>
      </c>
      <c r="C152" s="51" t="inlineStr">
        <is>
          <t>шт.</t>
        </is>
      </c>
      <c r="D152" s="52" t="n">
        <v>19000</v>
      </c>
      <c r="E152" s="53" t="n"/>
      <c r="F152" s="53" t="n"/>
      <c r="G152" s="53" t="n"/>
      <c r="H152" s="53" t="n"/>
      <c r="I152" s="53" t="n"/>
      <c r="J152" s="23" t="n"/>
    </row>
    <row r="153" ht="15.75" customHeight="1" s="47">
      <c r="B153" s="51" t="inlineStr">
        <is>
          <t>Просроченных кредитов NPL (кол-во)</t>
        </is>
      </c>
      <c r="C153" s="51" t="inlineStr">
        <is>
          <t>шт.</t>
        </is>
      </c>
      <c r="D153" s="52" t="n">
        <v>1950</v>
      </c>
      <c r="E153" s="53" t="n"/>
      <c r="F153" s="53" t="n"/>
      <c r="G153" s="53" t="n"/>
      <c r="H153" s="53" t="n"/>
      <c r="I153" s="53" t="n"/>
      <c r="J153" s="54" t="inlineStr">
        <is>
          <t>—</t>
        </is>
      </c>
    </row>
    <row r="154" ht="15" customHeight="1" s="47">
      <c r="B154" s="51" t="inlineStr">
        <is>
          <t>Новых ИП, получивших кредит (за квартал)</t>
        </is>
      </c>
      <c r="C154" s="51" t="inlineStr">
        <is>
          <t>шт.</t>
        </is>
      </c>
      <c r="D154" s="52" t="n">
        <v>700</v>
      </c>
      <c r="E154" s="53" t="n"/>
      <c r="F154" s="53" t="n"/>
      <c r="G154" s="53" t="n"/>
      <c r="H154" s="53" t="n"/>
      <c r="I154" s="53" t="n"/>
      <c r="J154" s="23" t="n"/>
    </row>
    <row r="155" ht="15.75" customHeight="1" s="47">
      <c r="B155" s="48" t="inlineStr">
        <is>
          <t>13. Туризм</t>
        </is>
      </c>
      <c r="C155" s="49" t="n"/>
      <c r="D155" s="49" t="n"/>
      <c r="E155" s="49" t="n"/>
      <c r="F155" s="49" t="n"/>
      <c r="G155" s="49" t="n"/>
      <c r="H155" s="49" t="n"/>
      <c r="I155" s="49" t="n"/>
      <c r="J155" s="50" t="n"/>
    </row>
    <row r="156" ht="15.75" customHeight="1" s="47">
      <c r="B156" s="51" t="inlineStr">
        <is>
          <t>Иностранных туристов</t>
        </is>
      </c>
      <c r="C156" s="51" t="inlineStr">
        <is>
          <t>тыс.</t>
        </is>
      </c>
      <c r="D156" s="52" t="n">
        <v>280</v>
      </c>
      <c r="E156" s="53" t="n"/>
      <c r="F156" s="53" t="n"/>
      <c r="G156" s="53" t="n"/>
      <c r="H156" s="53" t="n"/>
      <c r="I156" s="53" t="n"/>
      <c r="J156" s="23" t="n"/>
    </row>
    <row r="157" ht="15.75" customHeight="1" s="47">
      <c r="B157" s="51" t="inlineStr">
        <is>
          <t>Внутренних туристов</t>
        </is>
      </c>
      <c r="C157" s="51" t="inlineStr">
        <is>
          <t>тыс.</t>
        </is>
      </c>
      <c r="D157" s="52" t="n">
        <v>95</v>
      </c>
      <c r="E157" s="53" t="n"/>
      <c r="F157" s="53" t="n"/>
      <c r="G157" s="53" t="n"/>
      <c r="H157" s="53" t="n"/>
      <c r="I157" s="53" t="n"/>
      <c r="J157" s="23" t="n"/>
    </row>
    <row r="158" ht="15.75" customHeight="1" s="47">
      <c r="B158" s="51" t="inlineStr">
        <is>
          <t>Объектов размещения</t>
        </is>
      </c>
      <c r="C158" s="51" t="inlineStr">
        <is>
          <t>шт.</t>
        </is>
      </c>
      <c r="D158" s="52" t="n">
        <v>46</v>
      </c>
      <c r="E158" s="53" t="n"/>
      <c r="F158" s="53" t="n"/>
      <c r="G158" s="53" t="n"/>
      <c r="H158" s="53" t="n"/>
      <c r="I158" s="53" t="n"/>
      <c r="J158" s="23" t="n"/>
    </row>
    <row r="159" ht="15.75" customHeight="1" s="47">
      <c r="B159" s="51" t="inlineStr">
        <is>
          <t>Номеров в объектах размещения</t>
        </is>
      </c>
      <c r="C159" s="51" t="inlineStr">
        <is>
          <t>номеров</t>
        </is>
      </c>
      <c r="D159" s="52" t="n">
        <v>1020</v>
      </c>
      <c r="E159" s="53" t="n"/>
      <c r="F159" s="53" t="n"/>
      <c r="G159" s="53" t="n"/>
      <c r="H159" s="53" t="n"/>
      <c r="I159" s="53" t="n"/>
      <c r="J159" s="23" t="n"/>
    </row>
    <row r="160" ht="15.75" customHeight="1" s="47">
      <c r="B160" s="51" t="inlineStr">
        <is>
          <t>Ночёвок за год</t>
        </is>
      </c>
      <c r="C160" s="49" t="n"/>
      <c r="D160" s="49" t="n"/>
      <c r="E160" s="49" t="n"/>
      <c r="F160" s="49" t="n"/>
      <c r="G160" s="49" t="n"/>
      <c r="H160" s="49" t="n"/>
      <c r="I160" s="49" t="n"/>
      <c r="J160" s="50" t="n"/>
    </row>
    <row r="161" ht="15.75" customHeight="1" s="47">
      <c r="B161" s="51" t="inlineStr">
        <is>
          <t>Доход от туризма (иностр. туристов)</t>
        </is>
      </c>
      <c r="C161" s="51" t="inlineStr">
        <is>
          <t>млрд сум</t>
        </is>
      </c>
      <c r="D161" s="24" t="n">
        <v>110</v>
      </c>
      <c r="E161" s="25" t="n"/>
      <c r="F161" s="25" t="n"/>
      <c r="G161" s="25" t="n"/>
      <c r="H161" s="25" t="n"/>
      <c r="I161" s="25" t="n"/>
      <c r="J161" s="26" t="n"/>
    </row>
    <row r="162" ht="15.75" customHeight="1" s="47">
      <c r="B162" s="51" t="inlineStr">
        <is>
          <t>Доход от туризма (внутр. туристов)</t>
        </is>
      </c>
      <c r="C162" s="51" t="inlineStr">
        <is>
          <t>млрд сум</t>
        </is>
      </c>
      <c r="D162" s="24" t="n">
        <v>380</v>
      </c>
      <c r="E162" s="25" t="n"/>
      <c r="F162" s="25" t="n"/>
      <c r="G162" s="25" t="n"/>
      <c r="H162" s="25" t="n"/>
      <c r="I162" s="25" t="n"/>
      <c r="J162" s="26" t="n"/>
    </row>
    <row r="163" ht="15.75" customHeight="1" s="47">
      <c r="B163" s="48" t="inlineStr">
        <is>
          <t>14. Жильё</t>
        </is>
      </c>
      <c r="C163" s="49" t="n"/>
      <c r="D163" s="49" t="n"/>
      <c r="E163" s="49" t="n"/>
      <c r="F163" s="49" t="n"/>
      <c r="G163" s="49" t="n"/>
      <c r="H163" s="49" t="n"/>
      <c r="I163" s="49" t="n"/>
      <c r="J163" s="50" t="n"/>
    </row>
    <row r="164" ht="15" customHeight="1" s="47">
      <c r="B164" s="51" t="inlineStr">
        <is>
          <t>Жилой фонд – всего</t>
        </is>
      </c>
      <c r="C164" s="51" t="inlineStr">
        <is>
          <t>тыс. м²</t>
        </is>
      </c>
      <c r="D164" s="52" t="n">
        <v>6280</v>
      </c>
      <c r="E164" s="53" t="n"/>
      <c r="F164" s="53" t="n"/>
      <c r="G164" s="53" t="n"/>
      <c r="H164" s="53" t="n"/>
      <c r="I164" s="53" t="n"/>
      <c r="J164" s="54" t="inlineStr">
        <is>
          <t>—</t>
        </is>
      </c>
    </row>
    <row r="165" ht="15.75" customHeight="1" s="47">
      <c r="B165" s="51" t="inlineStr">
        <is>
          <t>Введено жилья за год</t>
        </is>
      </c>
      <c r="C165" s="51" t="inlineStr">
        <is>
          <t>тыс. м²</t>
        </is>
      </c>
      <c r="D165" s="52" t="n">
        <v>285</v>
      </c>
      <c r="E165" s="53" t="n"/>
      <c r="F165" s="53" t="n"/>
      <c r="G165" s="53" t="n"/>
      <c r="H165" s="53" t="n"/>
      <c r="I165" s="53" t="n"/>
      <c r="J165" s="23" t="n"/>
    </row>
    <row r="166" ht="15.75" customHeight="1" s="47">
      <c r="B166" s="51" t="inlineStr">
        <is>
          <t>Многоквартирных домов</t>
        </is>
      </c>
      <c r="C166" s="51" t="inlineStr">
        <is>
          <t>шт.</t>
        </is>
      </c>
      <c r="D166" s="52" t="n">
        <v>765</v>
      </c>
      <c r="E166" s="53" t="n"/>
      <c r="F166" s="53" t="n"/>
      <c r="G166" s="53" t="n"/>
      <c r="H166" s="53" t="n"/>
      <c r="I166" s="53" t="n"/>
      <c r="J166" s="54" t="inlineStr">
        <is>
          <t>—</t>
        </is>
      </c>
    </row>
    <row r="167" ht="15.75" customHeight="1" s="47">
      <c r="B167" s="51" t="inlineStr">
        <is>
          <t>Частных домов</t>
        </is>
      </c>
      <c r="C167" s="51" t="inlineStr">
        <is>
          <t>шт.</t>
        </is>
      </c>
      <c r="D167" s="52" t="n">
        <v>50900</v>
      </c>
      <c r="E167" s="53" t="n"/>
      <c r="F167" s="53" t="n"/>
      <c r="G167" s="53" t="n"/>
      <c r="H167" s="53" t="n"/>
      <c r="I167" s="53" t="n"/>
      <c r="J167" s="54" t="inlineStr">
        <is>
          <t>—</t>
        </is>
      </c>
    </row>
    <row r="168" ht="15.75" customHeight="1" s="47">
      <c r="B168" s="51" t="inlineStr">
        <is>
          <t>Аварийного жилья</t>
        </is>
      </c>
      <c r="C168" s="51" t="inlineStr">
        <is>
          <t>тыс. м²</t>
        </is>
      </c>
      <c r="D168" s="52" t="n">
        <v>58</v>
      </c>
      <c r="E168" s="53" t="n"/>
      <c r="F168" s="53" t="n"/>
      <c r="G168" s="53" t="n"/>
      <c r="H168" s="53" t="n"/>
      <c r="I168" s="53" t="n"/>
      <c r="J168" s="23" t="n"/>
    </row>
    <row r="169" ht="15" customHeight="1" s="47">
      <c r="B169" s="37" t="inlineStr">
        <is>
          <t>Доля аварийного жилья, %</t>
        </is>
      </c>
      <c r="C169" s="37" t="inlineStr">
        <is>
          <t>%</t>
        </is>
      </c>
      <c r="D169" s="38">
        <f>D149/D145*100</f>
        <v/>
      </c>
      <c r="E169" s="38">
        <f>IFERROR(E149/E145*100,"")</f>
        <v/>
      </c>
      <c r="F169" s="38">
        <f>IFERROR(F149/F145*100,"")</f>
        <v/>
      </c>
      <c r="G169" s="38">
        <f>IFERROR(G149/G145*100,"")</f>
        <v/>
      </c>
      <c r="H169" s="38">
        <f>IFERROR(H149/H145*100,"")</f>
        <v/>
      </c>
      <c r="I169" s="38">
        <f>IFERROR(I149/I145*100,"")</f>
        <v/>
      </c>
      <c r="J169" s="54" t="inlineStr">
        <is>
          <t>—</t>
        </is>
      </c>
    </row>
    <row r="170" ht="15.75" customHeight="1" s="47">
      <c r="B170" s="48" t="inlineStr">
        <is>
          <t>15. Инфраструктура – подключения и сети</t>
        </is>
      </c>
      <c r="C170" s="49" t="n"/>
      <c r="D170" s="49" t="n"/>
      <c r="E170" s="49" t="n"/>
      <c r="F170" s="49" t="n"/>
      <c r="G170" s="49" t="n"/>
      <c r="H170" s="49" t="n"/>
      <c r="I170" s="49" t="n"/>
      <c r="J170" s="50" t="n"/>
    </row>
    <row r="171" ht="15.75" customHeight="1" s="47">
      <c r="B171" s="51" t="inlineStr">
        <is>
          <t xml:space="preserve">  Подключено к электричеству</t>
        </is>
      </c>
      <c r="C171" s="51" t="inlineStr">
        <is>
          <t>домохоз.</t>
        </is>
      </c>
      <c r="D171" s="52" t="n">
        <v>74000</v>
      </c>
      <c r="E171" s="53" t="n"/>
      <c r="F171" s="53" t="n"/>
      <c r="G171" s="53" t="n"/>
      <c r="H171" s="53" t="n"/>
      <c r="I171" s="53" t="n"/>
      <c r="J171" s="23" t="n"/>
    </row>
    <row r="172" ht="15" customHeight="1" s="47">
      <c r="B172" s="37" t="inlineStr">
        <is>
          <t>Охват электричеством, %</t>
        </is>
      </c>
      <c r="C172" s="37" t="inlineStr">
        <is>
          <t>%</t>
        </is>
      </c>
      <c r="D172" s="38">
        <f>D152/(D20*1000)*100</f>
        <v/>
      </c>
      <c r="E172" s="38">
        <f>IFERROR(E152/(E20*1000)*100,"")</f>
        <v/>
      </c>
      <c r="F172" s="38">
        <f>IFERROR(F152/(F20*1000)*100,"")</f>
        <v/>
      </c>
      <c r="G172" s="38">
        <f>IFERROR(G152/(G20*1000)*100,"")</f>
        <v/>
      </c>
      <c r="H172" s="38">
        <f>IFERROR(H152/(H20*1000)*100,"")</f>
        <v/>
      </c>
      <c r="I172" s="38">
        <f>IFERROR(I152/(I20*1000)*100,"")</f>
        <v/>
      </c>
      <c r="J172" s="54" t="inlineStr">
        <is>
          <t>—</t>
        </is>
      </c>
    </row>
    <row r="173" ht="15.75" customHeight="1" s="47">
      <c r="B173" s="51" t="inlineStr">
        <is>
          <t xml:space="preserve">  Подключено к водопроводу</t>
        </is>
      </c>
      <c r="C173" s="51" t="inlineStr">
        <is>
          <t>домохоз.</t>
        </is>
      </c>
      <c r="D173" s="52" t="n">
        <v>71040</v>
      </c>
      <c r="E173" s="53" t="n"/>
      <c r="F173" s="53" t="n"/>
      <c r="G173" s="53" t="n"/>
      <c r="H173" s="53" t="n"/>
      <c r="I173" s="53" t="n"/>
      <c r="J173" s="23" t="n"/>
    </row>
    <row r="174" ht="15.75" customHeight="1" s="47">
      <c r="B174" s="37" t="inlineStr">
        <is>
          <t>Охват водопроводом, %</t>
        </is>
      </c>
      <c r="C174" s="37" t="inlineStr">
        <is>
          <t>%</t>
        </is>
      </c>
      <c r="D174" s="38">
        <f>D154/(D20*1000)*100</f>
        <v/>
      </c>
      <c r="E174" s="38">
        <f>IFERROR(E154/(E20*1000)*100,"")</f>
        <v/>
      </c>
      <c r="F174" s="38">
        <f>IFERROR(F154/(F20*1000)*100,"")</f>
        <v/>
      </c>
      <c r="G174" s="38">
        <f>IFERROR(G154/(G20*1000)*100,"")</f>
        <v/>
      </c>
      <c r="H174" s="38">
        <f>IFERROR(H154/(H20*1000)*100,"")</f>
        <v/>
      </c>
      <c r="I174" s="38">
        <f>IFERROR(I154/(I20*1000)*100,"")</f>
        <v/>
      </c>
      <c r="J174" s="54" t="inlineStr">
        <is>
          <t>—</t>
        </is>
      </c>
    </row>
    <row r="175" ht="15.75" customHeight="1" s="47">
      <c r="B175" s="51" t="inlineStr">
        <is>
          <t xml:space="preserve">  Подключено к канализации</t>
        </is>
      </c>
      <c r="C175" s="49" t="n"/>
      <c r="D175" s="49" t="n"/>
      <c r="E175" s="49" t="n"/>
      <c r="F175" s="49" t="n"/>
      <c r="G175" s="49" t="n"/>
      <c r="H175" s="49" t="n"/>
      <c r="I175" s="49" t="n"/>
      <c r="J175" s="50" t="n"/>
    </row>
    <row r="176" ht="15.75" customHeight="1" s="47">
      <c r="B176" s="37" t="inlineStr">
        <is>
          <t>Охват канализацией, %</t>
        </is>
      </c>
      <c r="C176" s="37" t="inlineStr">
        <is>
          <t>%</t>
        </is>
      </c>
      <c r="D176" s="38">
        <f>D156/(D20*1000)*100</f>
        <v/>
      </c>
      <c r="E176" s="38">
        <f>IFERROR(E156/(E20*1000)*100,"")</f>
        <v/>
      </c>
      <c r="F176" s="38">
        <f>IFERROR(F156/(F20*1000)*100,"")</f>
        <v/>
      </c>
      <c r="G176" s="38">
        <f>IFERROR(G156/(G20*1000)*100,"")</f>
        <v/>
      </c>
      <c r="H176" s="38">
        <f>IFERROR(H156/(H20*1000)*100,"")</f>
        <v/>
      </c>
      <c r="I176" s="38">
        <f>IFERROR(I156/(I20*1000)*100,"")</f>
        <v/>
      </c>
      <c r="J176" s="54" t="inlineStr">
        <is>
          <t>—</t>
        </is>
      </c>
    </row>
    <row r="177" ht="15" customHeight="1" s="47">
      <c r="B177" s="51" t="inlineStr">
        <is>
          <t xml:space="preserve">  Подключено к газу</t>
        </is>
      </c>
      <c r="C177" s="51" t="inlineStr">
        <is>
          <t>домохоз.</t>
        </is>
      </c>
      <c r="D177" s="52" t="n">
        <v>71780</v>
      </c>
      <c r="E177" s="53" t="n"/>
      <c r="F177" s="53" t="n"/>
      <c r="G177" s="53" t="n"/>
      <c r="H177" s="53" t="n"/>
      <c r="I177" s="53" t="n"/>
      <c r="J177" s="23" t="n"/>
    </row>
    <row r="178" ht="15.75" customHeight="1" s="47">
      <c r="B178" s="37" t="inlineStr">
        <is>
          <t>Охват газом, %</t>
        </is>
      </c>
      <c r="C178" s="49" t="n"/>
      <c r="D178" s="49" t="n"/>
      <c r="E178" s="49" t="n"/>
      <c r="F178" s="49" t="n"/>
      <c r="G178" s="49" t="n"/>
      <c r="H178" s="49" t="n"/>
      <c r="I178" s="49" t="n"/>
      <c r="J178" s="50" t="n"/>
    </row>
    <row r="179" ht="15.75" customHeight="1" s="47">
      <c r="B179" s="48" t="inlineStr">
        <is>
          <t>16. Дороги</t>
        </is>
      </c>
      <c r="C179" s="49" t="n"/>
      <c r="D179" s="49" t="n"/>
      <c r="E179" s="49" t="n"/>
      <c r="F179" s="49" t="n"/>
      <c r="G179" s="49" t="n"/>
      <c r="H179" s="49" t="n"/>
      <c r="I179" s="49" t="n"/>
      <c r="J179" s="50" t="n"/>
    </row>
    <row r="180" ht="15.75" customHeight="1" s="47">
      <c r="B180" s="51" t="inlineStr">
        <is>
          <t>Дороги – всего</t>
        </is>
      </c>
      <c r="C180" s="51" t="inlineStr">
        <is>
          <t>км</t>
        </is>
      </c>
      <c r="D180" s="52" t="n">
        <v>410</v>
      </c>
      <c r="E180" s="53" t="n"/>
      <c r="F180" s="53" t="n"/>
      <c r="G180" s="53" t="n"/>
      <c r="H180" s="53" t="n"/>
      <c r="I180" s="53" t="n"/>
      <c r="J180" s="54" t="inlineStr">
        <is>
          <t>—</t>
        </is>
      </c>
    </row>
    <row r="181" ht="15.75" customHeight="1" s="47">
      <c r="B181" s="51" t="inlineStr">
        <is>
          <t xml:space="preserve">  Асфальтированные</t>
        </is>
      </c>
      <c r="C181" s="51" t="inlineStr">
        <is>
          <t>км</t>
        </is>
      </c>
      <c r="D181" s="52" t="n">
        <v>345</v>
      </c>
      <c r="E181" s="53" t="n"/>
      <c r="F181" s="53" t="n"/>
      <c r="G181" s="53" t="n"/>
      <c r="H181" s="53" t="n"/>
      <c r="I181" s="53" t="n"/>
      <c r="J181" s="23" t="n"/>
    </row>
    <row r="182" ht="15.75" customHeight="1" s="47">
      <c r="B182" s="37" t="inlineStr">
        <is>
          <t>Доля асфальтированных дорог, %</t>
        </is>
      </c>
      <c r="C182" s="37" t="inlineStr">
        <is>
          <t>%</t>
        </is>
      </c>
      <c r="D182" s="38">
        <f>D162/D161*100</f>
        <v/>
      </c>
      <c r="E182" s="38">
        <f>IFERROR(E162/E161*100,"")</f>
        <v/>
      </c>
      <c r="F182" s="38">
        <f>IFERROR(F162/F161*100,"")</f>
        <v/>
      </c>
      <c r="G182" s="38">
        <f>IFERROR(G162/G161*100,"")</f>
        <v/>
      </c>
      <c r="H182" s="38">
        <f>IFERROR(H162/H161*100,"")</f>
        <v/>
      </c>
      <c r="I182" s="38">
        <f>IFERROR(I162/I161*100,"")</f>
        <v/>
      </c>
      <c r="J182" s="54" t="inlineStr">
        <is>
          <t>—</t>
        </is>
      </c>
    </row>
    <row r="183" ht="15.75" customHeight="1" s="47">
      <c r="B183" s="51" t="inlineStr">
        <is>
          <t xml:space="preserve">  Щебень / гравий</t>
        </is>
      </c>
      <c r="C183" s="49" t="n"/>
      <c r="D183" s="49" t="n"/>
      <c r="E183" s="49" t="n"/>
      <c r="F183" s="49" t="n"/>
      <c r="G183" s="49" t="n"/>
      <c r="H183" s="49" t="n"/>
      <c r="I183" s="49" t="n"/>
      <c r="J183" s="50" t="n"/>
    </row>
    <row r="184" ht="15.75" customHeight="1" s="47">
      <c r="B184" s="51" t="inlineStr">
        <is>
          <t xml:space="preserve">  Грунтовые</t>
        </is>
      </c>
      <c r="C184" s="51" t="inlineStr">
        <is>
          <t>км</t>
        </is>
      </c>
      <c r="D184" s="52" t="n">
        <v>10</v>
      </c>
      <c r="E184" s="53" t="n"/>
      <c r="F184" s="53" t="n"/>
      <c r="G184" s="53" t="n"/>
      <c r="H184" s="53" t="n"/>
      <c r="I184" s="53" t="n"/>
      <c r="J184" s="54" t="inlineStr">
        <is>
          <t>—</t>
        </is>
      </c>
    </row>
    <row r="185" ht="15.75" customHeight="1" s="47">
      <c r="B185" s="51" t="inlineStr">
        <is>
          <t xml:space="preserve">  В хорошем состоянии</t>
        </is>
      </c>
      <c r="C185" s="51" t="inlineStr">
        <is>
          <t>км</t>
        </is>
      </c>
      <c r="D185" s="52" t="n">
        <v>290</v>
      </c>
      <c r="E185" s="53" t="n"/>
      <c r="F185" s="53" t="n"/>
      <c r="G185" s="53" t="n"/>
      <c r="H185" s="53" t="n"/>
      <c r="I185" s="53" t="n"/>
      <c r="J185" s="23" t="n"/>
    </row>
    <row r="186" ht="15.75" customHeight="1" s="47">
      <c r="B186" s="37" t="inlineStr">
        <is>
          <t>Доля дорог в хорошем состоянии, %</t>
        </is>
      </c>
      <c r="C186" s="37" t="inlineStr">
        <is>
          <t>%</t>
        </is>
      </c>
      <c r="D186" s="38">
        <f>D166/D161*100</f>
        <v/>
      </c>
      <c r="E186" s="38">
        <f>IFERROR(E166/E161*100,"")</f>
        <v/>
      </c>
      <c r="F186" s="38">
        <f>IFERROR(F166/F161*100,"")</f>
        <v/>
      </c>
      <c r="G186" s="38">
        <f>IFERROR(G166/G161*100,"")</f>
        <v/>
      </c>
      <c r="H186" s="38">
        <f>IFERROR(H166/H161*100,"")</f>
        <v/>
      </c>
      <c r="I186" s="38">
        <f>IFERROR(I166/I161*100,"")</f>
        <v/>
      </c>
      <c r="J186" s="54" t="inlineStr">
        <is>
          <t>—</t>
        </is>
      </c>
    </row>
    <row r="187" ht="15.75" customHeight="1" s="47">
      <c r="B187" s="51" t="inlineStr">
        <is>
          <t xml:space="preserve">  Требуют ремонта</t>
        </is>
      </c>
      <c r="C187" s="51" t="inlineStr">
        <is>
          <t>км</t>
        </is>
      </c>
      <c r="D187" s="52" t="n">
        <v>95</v>
      </c>
      <c r="E187" s="53" t="n"/>
      <c r="F187" s="53" t="n"/>
      <c r="G187" s="53" t="n"/>
      <c r="H187" s="53" t="n"/>
      <c r="I187" s="53" t="n"/>
      <c r="J187" s="54" t="inlineStr">
        <is>
          <t>—</t>
        </is>
      </c>
    </row>
    <row r="188" ht="15.75" customHeight="1" s="47">
      <c r="B188" s="51" t="inlineStr">
        <is>
          <t xml:space="preserve">  Требуют капитального ремонта</t>
        </is>
      </c>
      <c r="C188" s="51" t="inlineStr">
        <is>
          <t>км</t>
        </is>
      </c>
      <c r="D188" s="52" t="n">
        <v>25</v>
      </c>
      <c r="E188" s="53" t="n"/>
      <c r="F188" s="53" t="n"/>
      <c r="G188" s="53" t="n"/>
      <c r="H188" s="53" t="n"/>
      <c r="I188" s="53" t="n"/>
      <c r="J188" s="54" t="inlineStr">
        <is>
          <t>—</t>
        </is>
      </c>
    </row>
    <row r="189" ht="15.75" customHeight="1" s="47">
      <c r="B189" s="48" t="inlineStr">
        <is>
          <t>17. Транспорт</t>
        </is>
      </c>
      <c r="C189" s="49" t="n"/>
      <c r="D189" s="49" t="n"/>
      <c r="E189" s="49" t="n"/>
      <c r="F189" s="49" t="n"/>
      <c r="G189" s="49" t="n"/>
      <c r="H189" s="49" t="n"/>
      <c r="I189" s="49" t="n"/>
      <c r="J189" s="50" t="n"/>
    </row>
    <row r="190" ht="15.75" customHeight="1" s="47">
      <c r="B190" s="51" t="inlineStr">
        <is>
          <t>Автобусных маршрутов</t>
        </is>
      </c>
      <c r="C190" s="51" t="inlineStr">
        <is>
          <t>маршрутов</t>
        </is>
      </c>
      <c r="D190" s="52" t="n">
        <v>36</v>
      </c>
      <c r="E190" s="53" t="n"/>
      <c r="F190" s="53" t="n"/>
      <c r="G190" s="53" t="n"/>
      <c r="H190" s="53" t="n"/>
      <c r="I190" s="53" t="n"/>
      <c r="J190" s="23" t="n"/>
    </row>
    <row r="191" ht="15.75" customHeight="1" s="47">
      <c r="B191" s="51" t="inlineStr">
        <is>
          <t>Автобусов в парке общ. транспорта</t>
        </is>
      </c>
      <c r="C191" s="51" t="inlineStr">
        <is>
          <t>шт.</t>
        </is>
      </c>
      <c r="D191" s="52" t="n">
        <v>290</v>
      </c>
      <c r="E191" s="53" t="n"/>
      <c r="F191" s="53" t="n"/>
      <c r="G191" s="53" t="n"/>
      <c r="H191" s="53" t="n"/>
      <c r="I191" s="53" t="n"/>
      <c r="J191" s="23" t="n"/>
    </row>
    <row r="192" ht="15.75" customHeight="1" s="47">
      <c r="B192" s="51" t="inlineStr">
        <is>
          <t>Такси (зарегистрировано)</t>
        </is>
      </c>
      <c r="C192" s="51" t="inlineStr">
        <is>
          <t>шт.</t>
        </is>
      </c>
      <c r="D192" s="52" t="n">
        <v>4500</v>
      </c>
      <c r="E192" s="53" t="n"/>
      <c r="F192" s="53" t="n"/>
      <c r="G192" s="53" t="n"/>
      <c r="H192" s="53" t="n"/>
      <c r="I192" s="53" t="n"/>
      <c r="J192" s="54" t="inlineStr">
        <is>
          <t>—</t>
        </is>
      </c>
    </row>
    <row r="193" ht="15" customHeight="1" s="47">
      <c r="B193" s="51" t="inlineStr">
        <is>
          <t>Легковых авто (зарегистрировано)</t>
        </is>
      </c>
      <c r="C193" s="51" t="inlineStr">
        <is>
          <t>шт.</t>
        </is>
      </c>
      <c r="D193" s="52" t="n">
        <v>78500</v>
      </c>
      <c r="E193" s="53" t="n"/>
      <c r="F193" s="53" t="n"/>
      <c r="G193" s="53" t="n"/>
      <c r="H193" s="53" t="n"/>
      <c r="I193" s="53" t="n"/>
      <c r="J193" s="54" t="inlineStr">
        <is>
          <t>—</t>
        </is>
      </c>
    </row>
    <row r="194" ht="15.75" customHeight="1" s="47">
      <c r="B194" s="48" t="inlineStr">
        <is>
          <t>18. Экология</t>
        </is>
      </c>
      <c r="C194" s="49" t="n"/>
      <c r="D194" s="49" t="n"/>
      <c r="E194" s="49" t="n"/>
      <c r="F194" s="49" t="n"/>
      <c r="G194" s="49" t="n"/>
      <c r="H194" s="49" t="n"/>
      <c r="I194" s="49" t="n"/>
      <c r="J194" s="50" t="n"/>
    </row>
    <row r="195" ht="15.75" customHeight="1" s="47">
      <c r="B195" s="51" t="inlineStr">
        <is>
          <t>Зелёных насаждений</t>
        </is>
      </c>
      <c r="C195" s="51" t="inlineStr">
        <is>
          <t>га</t>
        </is>
      </c>
      <c r="D195" s="52" t="n">
        <v>510</v>
      </c>
      <c r="E195" s="53" t="n"/>
      <c r="F195" s="53" t="n"/>
      <c r="G195" s="53" t="n"/>
      <c r="H195" s="53" t="n"/>
      <c r="I195" s="53" t="n"/>
      <c r="J195" s="23" t="n"/>
    </row>
    <row r="196" ht="15.75" customHeight="1" s="47">
      <c r="B196" s="51" t="inlineStr">
        <is>
          <t>Вывоз ТБО за год</t>
        </is>
      </c>
      <c r="C196" s="51" t="inlineStr">
        <is>
          <t>тонн</t>
        </is>
      </c>
      <c r="D196" s="52" t="n">
        <v>74000</v>
      </c>
      <c r="E196" s="53" t="n"/>
      <c r="F196" s="53" t="n"/>
      <c r="G196" s="53" t="n"/>
      <c r="H196" s="53" t="n"/>
      <c r="I196" s="53" t="n"/>
      <c r="J196" s="23" t="n"/>
    </row>
    <row r="197" ht="15.75" customHeight="1" s="47">
      <c r="B197" s="48" t="inlineStr">
        <is>
          <t>19. Цифровизация</t>
        </is>
      </c>
      <c r="C197" s="49" t="n"/>
      <c r="D197" s="49" t="n"/>
      <c r="E197" s="49" t="n"/>
      <c r="F197" s="49" t="n"/>
      <c r="G197" s="49" t="n"/>
      <c r="H197" s="49" t="n"/>
      <c r="I197" s="49" t="n"/>
      <c r="J197" s="50" t="n"/>
    </row>
    <row r="198" ht="15.75" customHeight="1" s="47">
      <c r="B198" s="51" t="inlineStr">
        <is>
          <t>Онлайн-платежи (транзакций в год)</t>
        </is>
      </c>
      <c r="C198" s="51" t="inlineStr">
        <is>
          <t>тыс. шт.</t>
        </is>
      </c>
      <c r="D198" s="52" t="n">
        <v>28000</v>
      </c>
      <c r="E198" s="53" t="n"/>
      <c r="F198" s="53" t="n"/>
      <c r="G198" s="53" t="n"/>
      <c r="H198" s="53" t="n"/>
      <c r="I198" s="53" t="n"/>
      <c r="J198" s="23" t="n"/>
    </row>
    <row r="199" ht="15.75" customHeight="1" s="47">
      <c r="B199" s="51" t="inlineStr">
        <is>
          <t>POS-терминалы (торговцев подключено)</t>
        </is>
      </c>
      <c r="C199" s="49" t="n"/>
      <c r="D199" s="49" t="n"/>
      <c r="E199" s="49" t="n"/>
      <c r="F199" s="49" t="n"/>
      <c r="G199" s="49" t="n"/>
      <c r="H199" s="49" t="n"/>
      <c r="I199" s="49" t="n"/>
      <c r="J199" s="50" t="n"/>
    </row>
    <row r="200" ht="15.75" customHeight="1" s="47">
      <c r="B200" s="51" t="inlineStr">
        <is>
          <t>Онлайн-кредитов выдано за год</t>
        </is>
      </c>
      <c r="C200" s="51" t="inlineStr">
        <is>
          <t>шт.</t>
        </is>
      </c>
      <c r="D200" s="52" t="n">
        <v>24000</v>
      </c>
      <c r="E200" s="53" t="n"/>
      <c r="F200" s="53" t="n"/>
      <c r="G200" s="53" t="n"/>
      <c r="H200" s="53" t="n"/>
      <c r="I200" s="53" t="n"/>
      <c r="J200" s="23" t="n"/>
    </row>
    <row r="201" ht="15.75" customHeight="1" s="47">
      <c r="B201" s="51" t="inlineStr">
        <is>
          <t>Покрытие 4G (по площади территории)</t>
        </is>
      </c>
      <c r="C201" s="51" t="inlineStr">
        <is>
          <t>%</t>
        </is>
      </c>
      <c r="D201" s="55" t="n">
        <v>100</v>
      </c>
      <c r="E201" s="56" t="n"/>
      <c r="F201" s="56" t="n"/>
      <c r="G201" s="56" t="n"/>
      <c r="H201" s="56" t="n"/>
      <c r="I201" s="56" t="n"/>
      <c r="J201" s="57" t="n"/>
    </row>
    <row r="202" ht="15.75" customHeight="1" s="47">
      <c r="B202" s="48" t="inlineStr">
        <is>
          <t>20. Топ-5 махаллей по кредитной активности</t>
        </is>
      </c>
      <c r="C202" s="49" t="n"/>
      <c r="D202" s="49" t="n"/>
      <c r="E202" s="49" t="n"/>
      <c r="F202" s="49" t="n"/>
      <c r="G202" s="49" t="n"/>
      <c r="H202" s="49" t="n"/>
      <c r="I202" s="49" t="n"/>
      <c r="J202" s="50" t="n"/>
    </row>
    <row r="203" ht="15.75" customHeight="1" s="47">
      <c r="B203" s="51" t="inlineStr">
        <is>
          <t>Махалля 1: название</t>
        </is>
      </c>
      <c r="C203" s="51" t="inlineStr">
        <is>
          <t>текст</t>
        </is>
      </c>
      <c r="D203" s="18" t="inlineStr">
        <is>
          <t>Мустакиллик</t>
        </is>
      </c>
      <c r="E203" s="19" t="n"/>
      <c r="F203" s="19" t="n"/>
      <c r="G203" s="19" t="n"/>
      <c r="H203" s="19" t="n"/>
      <c r="I203" s="19" t="n"/>
      <c r="J203" s="54" t="inlineStr">
        <is>
          <t>—</t>
        </is>
      </c>
    </row>
    <row r="204" ht="15.75" customHeight="1" s="47">
      <c r="B204" s="51" t="inlineStr">
        <is>
          <t>Махалля 1: количество кредитов</t>
        </is>
      </c>
      <c r="C204" s="51" t="inlineStr">
        <is>
          <t>шт.</t>
        </is>
      </c>
      <c r="D204" s="52" t="n">
        <v>720</v>
      </c>
      <c r="E204" s="53" t="n"/>
      <c r="F204" s="53" t="n"/>
      <c r="G204" s="53" t="n"/>
      <c r="H204" s="53" t="n"/>
      <c r="I204" s="53" t="n"/>
      <c r="J204" s="23" t="n"/>
    </row>
    <row r="205" ht="15.75" customHeight="1" s="47">
      <c r="B205" s="51" t="inlineStr">
        <is>
          <t>Махалля 1: рейтинг/скор</t>
        </is>
      </c>
      <c r="C205" s="51" t="inlineStr">
        <is>
          <t>балл</t>
        </is>
      </c>
      <c r="D205" s="55" t="n">
        <v>860</v>
      </c>
      <c r="E205" s="56" t="n"/>
      <c r="F205" s="56" t="n"/>
      <c r="G205" s="56" t="n"/>
      <c r="H205" s="56" t="n"/>
      <c r="I205" s="56" t="n"/>
      <c r="J205" s="57" t="n"/>
    </row>
    <row r="206" ht="15.75" customHeight="1" s="47">
      <c r="B206" s="51" t="inlineStr">
        <is>
          <t>Махалля 2: название</t>
        </is>
      </c>
      <c r="C206" s="51" t="inlineStr">
        <is>
          <t>текст</t>
        </is>
      </c>
      <c r="D206" s="18" t="inlineStr">
        <is>
          <t>Дустлик</t>
        </is>
      </c>
      <c r="E206" s="19" t="n"/>
      <c r="F206" s="19" t="n"/>
      <c r="G206" s="19" t="n"/>
      <c r="H206" s="19" t="n"/>
      <c r="I206" s="19" t="n"/>
      <c r="J206" s="54" t="inlineStr">
        <is>
          <t>—</t>
        </is>
      </c>
    </row>
    <row r="207" ht="15.75" customHeight="1" s="47">
      <c r="B207" s="51" t="inlineStr">
        <is>
          <t>Махалля 2: количество кредитов</t>
        </is>
      </c>
      <c r="C207" s="51" t="inlineStr">
        <is>
          <t>шт.</t>
        </is>
      </c>
      <c r="D207" s="52" t="n">
        <v>650</v>
      </c>
      <c r="E207" s="53" t="n"/>
      <c r="F207" s="53" t="n"/>
      <c r="G207" s="53" t="n"/>
      <c r="H207" s="53" t="n"/>
      <c r="I207" s="53" t="n"/>
      <c r="J207" s="23" t="n"/>
    </row>
    <row r="208" ht="15.75" customHeight="1" s="47">
      <c r="B208" s="51" t="inlineStr">
        <is>
          <t>Махалля 2: рейтинг/скор</t>
        </is>
      </c>
      <c r="C208" s="51" t="inlineStr">
        <is>
          <t>балл</t>
        </is>
      </c>
      <c r="D208" s="55" t="n">
        <v>835</v>
      </c>
      <c r="E208" s="56" t="n"/>
      <c r="F208" s="56" t="n"/>
      <c r="G208" s="56" t="n"/>
      <c r="H208" s="56" t="n"/>
      <c r="I208" s="56" t="n"/>
      <c r="J208" s="57" t="n"/>
    </row>
    <row r="209" ht="15.75" customHeight="1" s="47">
      <c r="B209" s="51" t="inlineStr">
        <is>
          <t>Махалля 3: название</t>
        </is>
      </c>
      <c r="C209" s="51" t="inlineStr">
        <is>
          <t>текст</t>
        </is>
      </c>
      <c r="D209" s="18" t="inlineStr">
        <is>
          <t>Гулистон</t>
        </is>
      </c>
      <c r="E209" s="19" t="n"/>
      <c r="F209" s="19" t="n"/>
      <c r="G209" s="19" t="n"/>
      <c r="H209" s="19" t="n"/>
      <c r="I209" s="19" t="n"/>
      <c r="J209" s="54" t="inlineStr">
        <is>
          <t>—</t>
        </is>
      </c>
    </row>
    <row r="210" ht="15.75" customHeight="1" s="47">
      <c r="B210" s="51" t="inlineStr">
        <is>
          <t>Махалля 3: количество кредитов</t>
        </is>
      </c>
      <c r="C210" s="51" t="inlineStr">
        <is>
          <t>шт.</t>
        </is>
      </c>
      <c r="D210" s="52" t="n">
        <v>590</v>
      </c>
      <c r="E210" s="53" t="n"/>
      <c r="F210" s="53" t="n"/>
      <c r="G210" s="53" t="n"/>
      <c r="H210" s="53" t="n"/>
      <c r="I210" s="53" t="n"/>
      <c r="J210" s="23" t="n"/>
    </row>
    <row r="211" ht="15.75" customHeight="1" s="47">
      <c r="B211" s="51" t="inlineStr">
        <is>
          <t>Махалля 3: рейтинг/скор</t>
        </is>
      </c>
      <c r="C211" s="51" t="inlineStr">
        <is>
          <t>балл</t>
        </is>
      </c>
      <c r="D211" s="55" t="n">
        <v>815</v>
      </c>
      <c r="E211" s="56" t="n"/>
      <c r="F211" s="56" t="n"/>
      <c r="G211" s="56" t="n"/>
      <c r="H211" s="56" t="n"/>
      <c r="I211" s="56" t="n"/>
      <c r="J211" s="57" t="n"/>
    </row>
    <row r="212" ht="15.75" customHeight="1" s="47">
      <c r="B212" s="51" t="inlineStr">
        <is>
          <t>Махалля 4: название</t>
        </is>
      </c>
      <c r="C212" s="51" t="inlineStr">
        <is>
          <t>текст</t>
        </is>
      </c>
      <c r="D212" s="18" t="inlineStr">
        <is>
          <t>Ёшлик</t>
        </is>
      </c>
      <c r="E212" s="19" t="n"/>
      <c r="F212" s="19" t="n"/>
      <c r="G212" s="19" t="n"/>
      <c r="H212" s="19" t="n"/>
      <c r="I212" s="19" t="n"/>
      <c r="J212" s="54" t="inlineStr">
        <is>
          <t>—</t>
        </is>
      </c>
    </row>
    <row r="213" ht="15.75" customHeight="1" s="47">
      <c r="B213" s="51" t="inlineStr">
        <is>
          <t>Махалля 4: количество кредитов</t>
        </is>
      </c>
      <c r="C213" s="51" t="inlineStr">
        <is>
          <t>шт.</t>
        </is>
      </c>
      <c r="D213" s="52" t="n">
        <v>540</v>
      </c>
      <c r="E213" s="53" t="n"/>
      <c r="F213" s="53" t="n"/>
      <c r="G213" s="53" t="n"/>
      <c r="H213" s="53" t="n"/>
      <c r="I213" s="53" t="n"/>
      <c r="J213" s="23" t="n"/>
    </row>
    <row r="214" ht="15.75" customHeight="1" s="47">
      <c r="B214" s="51" t="inlineStr">
        <is>
          <t>Махалля 4: рейтинг/скор</t>
        </is>
      </c>
      <c r="C214" s="51" t="inlineStr">
        <is>
          <t>балл</t>
        </is>
      </c>
      <c r="D214" s="55" t="n">
        <v>805</v>
      </c>
      <c r="E214" s="56" t="n"/>
      <c r="F214" s="56" t="n"/>
      <c r="G214" s="56" t="n"/>
      <c r="H214" s="56" t="n"/>
      <c r="I214" s="56" t="n"/>
      <c r="J214" s="57" t="n"/>
    </row>
    <row r="215" ht="15.75" customHeight="1" s="47">
      <c r="B215" s="51" t="inlineStr">
        <is>
          <t>Махалля 5: название</t>
        </is>
      </c>
      <c r="C215" s="49" t="n"/>
      <c r="D215" s="49" t="n"/>
      <c r="E215" s="49" t="n"/>
      <c r="F215" s="49" t="n"/>
      <c r="G215" s="49" t="n"/>
      <c r="H215" s="49" t="n"/>
      <c r="I215" s="49" t="n"/>
      <c r="J215" s="50" t="n"/>
    </row>
    <row r="216" ht="15.75" customHeight="1" s="47">
      <c r="B216" s="51" t="inlineStr">
        <is>
          <t>Махалля 5: количество кредитов</t>
        </is>
      </c>
      <c r="C216" s="51" t="inlineStr">
        <is>
          <t>шт.</t>
        </is>
      </c>
      <c r="D216" s="52" t="n">
        <v>500</v>
      </c>
      <c r="E216" s="53" t="n"/>
      <c r="F216" s="53" t="n"/>
      <c r="G216" s="53" t="n"/>
      <c r="H216" s="53" t="n"/>
      <c r="I216" s="53" t="n"/>
      <c r="J216" s="23" t="n"/>
    </row>
    <row r="217" ht="15.75" customHeight="1" s="47">
      <c r="B217" s="51" t="inlineStr">
        <is>
          <t>Махалля 5: рейтинг/скор</t>
        </is>
      </c>
      <c r="C217" s="51" t="inlineStr">
        <is>
          <t>балл</t>
        </is>
      </c>
      <c r="D217" s="55" t="n">
        <v>795</v>
      </c>
      <c r="E217" s="56" t="n"/>
      <c r="F217" s="56" t="n"/>
      <c r="G217" s="56" t="n"/>
      <c r="H217" s="56" t="n"/>
      <c r="I217" s="56" t="n"/>
      <c r="J217" s="57" t="n"/>
    </row>
    <row r="218" ht="15.75" customHeight="1" s="47">
      <c r="B218" s="58" t="inlineStr">
        <is>
          <t>20а. Топ-5 махаллей по ремесленной активности</t>
        </is>
      </c>
    </row>
    <row r="219" ht="15.75" customHeight="1" s="47">
      <c r="B219" s="27" t="inlineStr">
        <is>
          <t>Махалля 1: название</t>
        </is>
      </c>
      <c r="C219" s="27" t="inlineStr">
        <is>
          <t>текст</t>
        </is>
      </c>
      <c r="D219" s="42" t="inlineStr">
        <is>
          <t>Хунарманд</t>
        </is>
      </c>
      <c r="E219" s="43" t="n"/>
      <c r="F219" s="43" t="n"/>
      <c r="G219" s="43" t="n"/>
      <c r="H219" s="43" t="n"/>
      <c r="I219" s="43" t="n"/>
      <c r="J219" s="31" t="inlineStr">
        <is>
          <t>—</t>
        </is>
      </c>
    </row>
    <row r="220" ht="15.75" customHeight="1" s="47">
      <c r="B220" s="27" t="inlineStr">
        <is>
          <t>Махалля 1: ремесленных мастерских</t>
        </is>
      </c>
      <c r="C220" s="27" t="inlineStr">
        <is>
          <t>шт.</t>
        </is>
      </c>
      <c r="D220" s="32" t="n">
        <v>85</v>
      </c>
      <c r="E220" s="33" t="n"/>
      <c r="F220" s="33" t="n"/>
      <c r="G220" s="33" t="n"/>
      <c r="H220" s="33" t="n"/>
      <c r="I220" s="33" t="n"/>
      <c r="J220" s="29" t="n"/>
    </row>
    <row r="221" ht="15.75" customHeight="1" s="47">
      <c r="B221" s="27" t="inlineStr">
        <is>
          <t>Махалля 1: объём ремесл. производства</t>
        </is>
      </c>
      <c r="C221" s="27" t="inlineStr">
        <is>
          <t>млрд сум</t>
        </is>
      </c>
      <c r="D221" s="44" t="n">
        <v>12.5</v>
      </c>
      <c r="E221" s="45" t="n"/>
      <c r="F221" s="45" t="n"/>
      <c r="G221" s="45" t="n"/>
      <c r="H221" s="45" t="n"/>
      <c r="I221" s="45" t="n"/>
      <c r="J221" s="46" t="n"/>
    </row>
    <row r="222" ht="15.75" customHeight="1" s="47">
      <c r="B222" s="27" t="inlineStr">
        <is>
          <t>Махалля 2: название</t>
        </is>
      </c>
      <c r="C222" s="27" t="inlineStr">
        <is>
          <t>текст</t>
        </is>
      </c>
      <c r="D222" s="42" t="inlineStr">
        <is>
          <t>Атлас</t>
        </is>
      </c>
      <c r="E222" s="43" t="n"/>
      <c r="F222" s="43" t="n"/>
      <c r="G222" s="43" t="n"/>
      <c r="H222" s="43" t="n"/>
      <c r="I222" s="43" t="n"/>
      <c r="J222" s="31" t="inlineStr">
        <is>
          <t>—</t>
        </is>
      </c>
    </row>
    <row r="223" ht="15.75" customHeight="1" s="47">
      <c r="B223" s="27" t="inlineStr">
        <is>
          <t>Махалля 2: ремесленных мастерских</t>
        </is>
      </c>
      <c r="C223" s="27" t="inlineStr">
        <is>
          <t>шт.</t>
        </is>
      </c>
      <c r="D223" s="32" t="n">
        <v>70</v>
      </c>
      <c r="E223" s="33" t="n"/>
      <c r="F223" s="33" t="n"/>
      <c r="G223" s="33" t="n"/>
      <c r="H223" s="33" t="n"/>
      <c r="I223" s="33" t="n"/>
      <c r="J223" s="29" t="n"/>
    </row>
    <row r="224" ht="15.75" customHeight="1" s="47">
      <c r="B224" s="27" t="inlineStr">
        <is>
          <t>Махалля 2: объём ремесл. производства</t>
        </is>
      </c>
      <c r="C224" s="27" t="inlineStr">
        <is>
          <t>млрд сум</t>
        </is>
      </c>
      <c r="D224" s="44" t="n">
        <v>9.800000000000001</v>
      </c>
      <c r="E224" s="45" t="n"/>
      <c r="F224" s="45" t="n"/>
      <c r="G224" s="45" t="n"/>
      <c r="H224" s="45" t="n"/>
      <c r="I224" s="45" t="n"/>
      <c r="J224" s="46" t="n"/>
    </row>
    <row r="225" ht="15.75" customHeight="1" s="47">
      <c r="B225" s="27" t="inlineStr">
        <is>
          <t>Махалля 3: название</t>
        </is>
      </c>
      <c r="C225" s="27" t="inlineStr">
        <is>
          <t>текст</t>
        </is>
      </c>
      <c r="D225" s="42" t="inlineStr">
        <is>
          <t>Кулолчилик</t>
        </is>
      </c>
      <c r="E225" s="43" t="n"/>
      <c r="F225" s="43" t="n"/>
      <c r="G225" s="43" t="n"/>
      <c r="H225" s="43" t="n"/>
      <c r="I225" s="43" t="n"/>
      <c r="J225" s="31" t="inlineStr">
        <is>
          <t>—</t>
        </is>
      </c>
    </row>
    <row r="226" ht="15.75" customHeight="1" s="47">
      <c r="B226" s="27" t="inlineStr">
        <is>
          <t>Махалля 3: ремесленных мастерских</t>
        </is>
      </c>
      <c r="C226" s="27" t="inlineStr">
        <is>
          <t>шт.</t>
        </is>
      </c>
      <c r="D226" s="32" t="n">
        <v>58</v>
      </c>
      <c r="E226" s="33" t="n"/>
      <c r="F226" s="33" t="n"/>
      <c r="G226" s="33" t="n"/>
      <c r="H226" s="33" t="n"/>
      <c r="I226" s="33" t="n"/>
      <c r="J226" s="29" t="n"/>
    </row>
    <row r="227" ht="15.75" customHeight="1" s="47">
      <c r="B227" s="27" t="inlineStr">
        <is>
          <t>Махалля 3: объём ремесл. производства</t>
        </is>
      </c>
      <c r="C227" s="27" t="inlineStr">
        <is>
          <t>млрд сум</t>
        </is>
      </c>
      <c r="D227" s="44" t="n">
        <v>7.2</v>
      </c>
      <c r="E227" s="45" t="n"/>
      <c r="F227" s="45" t="n"/>
      <c r="G227" s="45" t="n"/>
      <c r="H227" s="45" t="n"/>
      <c r="I227" s="45" t="n"/>
      <c r="J227" s="46" t="n"/>
    </row>
    <row r="228" ht="15.75" customHeight="1" s="47">
      <c r="B228" s="27" t="inlineStr">
        <is>
          <t>Махалля 4: название</t>
        </is>
      </c>
      <c r="C228" s="27" t="inlineStr">
        <is>
          <t>текст</t>
        </is>
      </c>
      <c r="D228" s="42" t="inlineStr">
        <is>
          <t>Заргарлик</t>
        </is>
      </c>
      <c r="E228" s="43" t="n"/>
      <c r="F228" s="43" t="n"/>
      <c r="G228" s="43" t="n"/>
      <c r="H228" s="43" t="n"/>
      <c r="I228" s="43" t="n"/>
      <c r="J228" s="31" t="inlineStr">
        <is>
          <t>—</t>
        </is>
      </c>
    </row>
    <row r="229" ht="15.75" customHeight="1" s="47">
      <c r="B229" s="27" t="inlineStr">
        <is>
          <t>Махалля 4: ремесленных мастерских</t>
        </is>
      </c>
      <c r="C229" s="27" t="inlineStr">
        <is>
          <t>шт.</t>
        </is>
      </c>
      <c r="D229" s="32" t="n">
        <v>46</v>
      </c>
      <c r="E229" s="33" t="n"/>
      <c r="F229" s="33" t="n"/>
      <c r="G229" s="33" t="n"/>
      <c r="H229" s="33" t="n"/>
      <c r="I229" s="33" t="n"/>
      <c r="J229" s="29" t="n"/>
    </row>
    <row r="230" ht="15.75" customHeight="1" s="47">
      <c r="B230" s="27" t="inlineStr">
        <is>
          <t>Махалля 4: объём ремесл. производства</t>
        </is>
      </c>
      <c r="C230" s="27" t="inlineStr">
        <is>
          <t>млрд сум</t>
        </is>
      </c>
      <c r="D230" s="44" t="n">
        <v>5.5</v>
      </c>
      <c r="E230" s="45" t="n"/>
      <c r="F230" s="45" t="n"/>
      <c r="G230" s="45" t="n"/>
      <c r="H230" s="45" t="n"/>
      <c r="I230" s="45" t="n"/>
      <c r="J230" s="46" t="n"/>
    </row>
    <row r="231" ht="15.75" customHeight="1" s="47">
      <c r="B231" s="27" t="inlineStr">
        <is>
          <t>Махалля 5: название</t>
        </is>
      </c>
      <c r="C231" s="27" t="inlineStr">
        <is>
          <t>текст</t>
        </is>
      </c>
      <c r="D231" s="42" t="inlineStr">
        <is>
          <t>Чустичилик</t>
        </is>
      </c>
      <c r="E231" s="43" t="n"/>
      <c r="F231" s="43" t="n"/>
      <c r="G231" s="43" t="n"/>
      <c r="H231" s="43" t="n"/>
      <c r="I231" s="43" t="n"/>
      <c r="J231" s="31" t="inlineStr">
        <is>
          <t>—</t>
        </is>
      </c>
    </row>
    <row r="232" ht="15.75" customHeight="1" s="47">
      <c r="B232" s="27" t="inlineStr">
        <is>
          <t>Махалля 5: ремесленных мастерских</t>
        </is>
      </c>
      <c r="C232" s="27" t="inlineStr">
        <is>
          <t>шт.</t>
        </is>
      </c>
      <c r="D232" s="32" t="n">
        <v>40</v>
      </c>
      <c r="E232" s="33" t="n"/>
      <c r="F232" s="33" t="n"/>
      <c r="G232" s="33" t="n"/>
      <c r="H232" s="33" t="n"/>
      <c r="I232" s="33" t="n"/>
      <c r="J232" s="29" t="n"/>
    </row>
    <row r="233" ht="15.75" customHeight="1" s="47">
      <c r="B233" s="27" t="inlineStr">
        <is>
          <t>Махалля 5: объём ремесл. производства</t>
        </is>
      </c>
      <c r="C233" s="27" t="inlineStr">
        <is>
          <t>млрд сум</t>
        </is>
      </c>
      <c r="D233" s="44" t="n">
        <v>4.1</v>
      </c>
      <c r="E233" s="45" t="n"/>
      <c r="F233" s="45" t="n"/>
      <c r="G233" s="45" t="n"/>
      <c r="H233" s="45" t="n"/>
      <c r="I233" s="45" t="n"/>
      <c r="J233" s="46" t="n"/>
    </row>
    <row r="234" ht="15.75" customHeight="1" s="47">
      <c r="B234" s="48" t="inlineStr">
        <is>
          <t>21. Критические проблемы инфраструктуры</t>
        </is>
      </c>
      <c r="C234" s="49" t="n"/>
      <c r="D234" s="49" t="n"/>
      <c r="E234" s="49" t="n"/>
      <c r="F234" s="49" t="n"/>
      <c r="G234" s="49" t="n"/>
      <c r="H234" s="49" t="n"/>
      <c r="I234" s="49" t="n"/>
      <c r="J234" s="50" t="n"/>
    </row>
    <row r="235" ht="15.75" customHeight="1" s="47">
      <c r="B235" s="51" t="inlineStr">
        <is>
          <t>Проблема 1: название</t>
        </is>
      </c>
      <c r="C235" s="51" t="inlineStr">
        <is>
          <t>текст</t>
        </is>
      </c>
      <c r="D235" s="18" t="inlineStr">
        <is>
          <t>Износ водопровода центра</t>
        </is>
      </c>
      <c r="E235" s="19" t="n"/>
      <c r="F235" s="19" t="n"/>
      <c r="G235" s="19" t="n"/>
      <c r="H235" s="19" t="n"/>
      <c r="I235" s="19" t="n"/>
      <c r="J235" s="54" t="inlineStr">
        <is>
          <t>—</t>
        </is>
      </c>
    </row>
    <row r="236" ht="15.75" customHeight="1" s="47">
      <c r="B236" s="51" t="inlineStr">
        <is>
          <t>Проблема 1: приоритет (выс/ср/низ)</t>
        </is>
      </c>
      <c r="C236" s="51" t="inlineStr">
        <is>
          <t>текст</t>
        </is>
      </c>
      <c r="D236" s="18" t="inlineStr">
        <is>
          <t>Высокий</t>
        </is>
      </c>
      <c r="E236" s="19" t="n"/>
      <c r="F236" s="19" t="n"/>
      <c r="G236" s="19" t="n"/>
      <c r="H236" s="19" t="n"/>
      <c r="I236" s="19" t="n"/>
      <c r="J236" s="54" t="inlineStr">
        <is>
          <t>—</t>
        </is>
      </c>
    </row>
    <row r="237" ht="15.75" customHeight="1" s="47">
      <c r="B237" s="51" t="inlineStr">
        <is>
          <t>Проблема 1: стоимость решения</t>
        </is>
      </c>
      <c r="C237" s="51" t="inlineStr">
        <is>
          <t>млрд сум</t>
        </is>
      </c>
      <c r="D237" s="24" t="n">
        <v>72</v>
      </c>
      <c r="E237" s="25" t="n"/>
      <c r="F237" s="25" t="n"/>
      <c r="G237" s="25" t="n"/>
      <c r="H237" s="25" t="n"/>
      <c r="I237" s="25" t="n"/>
      <c r="J237" s="26" t="n"/>
    </row>
    <row r="238" ht="15.75" customHeight="1" s="47">
      <c r="B238" s="51" t="inlineStr">
        <is>
          <t>Проблема 2: название</t>
        </is>
      </c>
      <c r="C238" s="51" t="inlineStr">
        <is>
          <t>текст</t>
        </is>
      </c>
      <c r="D238" s="18" t="inlineStr">
        <is>
          <t>Канализация южного района</t>
        </is>
      </c>
      <c r="E238" s="19" t="n"/>
      <c r="F238" s="19" t="n"/>
      <c r="G238" s="19" t="n"/>
      <c r="H238" s="19" t="n"/>
      <c r="I238" s="19" t="n"/>
      <c r="J238" s="54" t="inlineStr">
        <is>
          <t>—</t>
        </is>
      </c>
    </row>
    <row r="239" ht="15.75" customHeight="1" s="47">
      <c r="B239" s="51" t="inlineStr">
        <is>
          <t>Проблема 2: приоритет (выс/ср/низ)</t>
        </is>
      </c>
      <c r="C239" s="51" t="inlineStr">
        <is>
          <t>текст</t>
        </is>
      </c>
      <c r="D239" s="18" t="inlineStr">
        <is>
          <t>Высокий</t>
        </is>
      </c>
      <c r="E239" s="19" t="n"/>
      <c r="F239" s="19" t="n"/>
      <c r="G239" s="19" t="n"/>
      <c r="H239" s="19" t="n"/>
      <c r="I239" s="19" t="n"/>
      <c r="J239" s="54" t="inlineStr">
        <is>
          <t>—</t>
        </is>
      </c>
    </row>
    <row r="240" ht="15.75" customHeight="1" s="47">
      <c r="B240" s="51" t="inlineStr">
        <is>
          <t>Проблема 2: стоимость решения</t>
        </is>
      </c>
      <c r="C240" s="51" t="inlineStr">
        <is>
          <t>млрд сум</t>
        </is>
      </c>
      <c r="D240" s="24" t="n">
        <v>60</v>
      </c>
      <c r="E240" s="25" t="n"/>
      <c r="F240" s="25" t="n"/>
      <c r="G240" s="25" t="n"/>
      <c r="H240" s="25" t="n"/>
      <c r="I240" s="25" t="n"/>
      <c r="J240" s="26" t="n"/>
    </row>
    <row r="241" ht="15.75" customHeight="1" s="47">
      <c r="B241" s="51" t="inlineStr">
        <is>
          <t>Проблема 3: название</t>
        </is>
      </c>
      <c r="C241" s="51" t="inlineStr">
        <is>
          <t>текст</t>
        </is>
      </c>
      <c r="D241" s="18" t="inlineStr">
        <is>
          <t>Капремонт дорог</t>
        </is>
      </c>
      <c r="E241" s="19" t="n"/>
      <c r="F241" s="19" t="n"/>
      <c r="G241" s="19" t="n"/>
      <c r="H241" s="19" t="n"/>
      <c r="I241" s="19" t="n"/>
      <c r="J241" s="54" t="inlineStr">
        <is>
          <t>—</t>
        </is>
      </c>
    </row>
    <row r="242" ht="15.75" customHeight="1" s="47">
      <c r="B242" s="51" t="inlineStr">
        <is>
          <t>Проблема 3: приоритет (выс/ср/низ)</t>
        </is>
      </c>
      <c r="C242" s="51" t="inlineStr">
        <is>
          <t>текст</t>
        </is>
      </c>
      <c r="D242" s="18" t="inlineStr">
        <is>
          <t>Средний</t>
        </is>
      </c>
      <c r="E242" s="19" t="n"/>
      <c r="F242" s="19" t="n"/>
      <c r="G242" s="19" t="n"/>
      <c r="H242" s="19" t="n"/>
      <c r="I242" s="19" t="n"/>
      <c r="J242" s="54" t="inlineStr">
        <is>
          <t>—</t>
        </is>
      </c>
    </row>
    <row r="243" ht="15.75" customHeight="1" s="47">
      <c r="B243" s="51" t="inlineStr">
        <is>
          <t>Проблема 3: стоимость решения</t>
        </is>
      </c>
      <c r="C243" s="51" t="inlineStr">
        <is>
          <t>млрд сум</t>
        </is>
      </c>
      <c r="D243" s="24" t="n">
        <v>52</v>
      </c>
      <c r="E243" s="25" t="n"/>
      <c r="F243" s="25" t="n"/>
      <c r="G243" s="25" t="n"/>
      <c r="H243" s="25" t="n"/>
      <c r="I243" s="25" t="n"/>
      <c r="J243" s="26" t="n"/>
    </row>
    <row r="244" ht="15.75" customHeight="1" s="47">
      <c r="B244" s="51" t="inlineStr">
        <is>
          <t>Проблема 4: название</t>
        </is>
      </c>
      <c r="C244" s="51" t="inlineStr">
        <is>
          <t>текст</t>
        </is>
      </c>
      <c r="D244" s="18" t="inlineStr">
        <is>
          <t>Модернизация освещения</t>
        </is>
      </c>
      <c r="E244" s="19" t="n"/>
      <c r="F244" s="19" t="n"/>
      <c r="G244" s="19" t="n"/>
      <c r="H244" s="19" t="n"/>
      <c r="I244" s="19" t="n"/>
      <c r="J244" s="54" t="inlineStr">
        <is>
          <t>—</t>
        </is>
      </c>
    </row>
    <row r="245" ht="15.75" customHeight="1" s="47">
      <c r="B245" s="51" t="inlineStr">
        <is>
          <t>Проблема 4: приоритет (выс/ср/низ)</t>
        </is>
      </c>
      <c r="C245" s="51" t="inlineStr">
        <is>
          <t>текст</t>
        </is>
      </c>
      <c r="D245" s="18" t="inlineStr">
        <is>
          <t>Средний</t>
        </is>
      </c>
      <c r="E245" s="19" t="n"/>
      <c r="F245" s="19" t="n"/>
      <c r="G245" s="19" t="n"/>
      <c r="H245" s="19" t="n"/>
      <c r="I245" s="19" t="n"/>
      <c r="J245" s="54" t="inlineStr">
        <is>
          <t>—</t>
        </is>
      </c>
    </row>
    <row r="246" ht="15.75" customHeight="1" s="47">
      <c r="B246" s="51" t="inlineStr">
        <is>
          <t>Проблема 4: стоимость решения</t>
        </is>
      </c>
      <c r="C246" s="51" t="inlineStr">
        <is>
          <t>млрд сум</t>
        </is>
      </c>
      <c r="D246" s="24" t="n">
        <v>32</v>
      </c>
      <c r="E246" s="25" t="n"/>
      <c r="F246" s="25" t="n"/>
      <c r="G246" s="25" t="n"/>
      <c r="H246" s="25" t="n"/>
      <c r="I246" s="25" t="n"/>
      <c r="J246" s="26" t="n"/>
    </row>
    <row r="247" ht="15.75" customHeight="1" s="47">
      <c r="B247" s="51" t="inlineStr">
        <is>
          <t>Проблема 5: название</t>
        </is>
      </c>
      <c r="C247" s="51" t="inlineStr">
        <is>
          <t>текст</t>
        </is>
      </c>
      <c r="D247" s="18" t="inlineStr">
        <is>
          <t>Ливневая канализация</t>
        </is>
      </c>
      <c r="E247" s="19" t="n"/>
      <c r="F247" s="19" t="n"/>
      <c r="G247" s="19" t="n"/>
      <c r="H247" s="19" t="n"/>
      <c r="I247" s="19" t="n"/>
      <c r="J247" s="54" t="inlineStr">
        <is>
          <t>—</t>
        </is>
      </c>
    </row>
    <row r="248" ht="15.75" customHeight="1" s="47">
      <c r="B248" s="51" t="inlineStr">
        <is>
          <t>Проблема 5: приоритет (выс/ср/низ)</t>
        </is>
      </c>
      <c r="C248" s="51" t="inlineStr">
        <is>
          <t>текст</t>
        </is>
      </c>
      <c r="D248" s="18" t="inlineStr">
        <is>
          <t>Низкий</t>
        </is>
      </c>
      <c r="E248" s="19" t="n"/>
      <c r="F248" s="19" t="n"/>
      <c r="G248" s="19" t="n"/>
      <c r="H248" s="19" t="n"/>
      <c r="I248" s="19" t="n"/>
      <c r="J248" s="54" t="inlineStr">
        <is>
          <t>—</t>
        </is>
      </c>
    </row>
    <row r="249" ht="15.75" customHeight="1" s="47">
      <c r="B249" s="51" t="inlineStr">
        <is>
          <t>Проблема 5: стоимость решения</t>
        </is>
      </c>
      <c r="C249" s="51" t="inlineStr">
        <is>
          <t>млрд сум</t>
        </is>
      </c>
      <c r="D249" s="24" t="n">
        <v>22</v>
      </c>
      <c r="E249" s="25" t="n"/>
      <c r="F249" s="25" t="n"/>
      <c r="G249" s="25" t="n"/>
      <c r="H249" s="25" t="n"/>
      <c r="I249" s="25" t="n"/>
      <c r="J249" s="26" t="n"/>
    </row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7">
    <mergeCell ref="B151:J151"/>
    <mergeCell ref="B111:J111"/>
    <mergeCell ref="B101:J101"/>
    <mergeCell ref="B57:J57"/>
    <mergeCell ref="B170:J170"/>
    <mergeCell ref="B175:J175"/>
    <mergeCell ref="B178:J178"/>
    <mergeCell ref="B118:J118"/>
    <mergeCell ref="B74:J74"/>
    <mergeCell ref="B183:J183"/>
    <mergeCell ref="B64:J64"/>
    <mergeCell ref="B89:J89"/>
    <mergeCell ref="B160:J160"/>
    <mergeCell ref="B144:J144"/>
    <mergeCell ref="B7:J7"/>
    <mergeCell ref="B199:J199"/>
    <mergeCell ref="B215:J215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2026-05-02T16:24:41Z</dcterms:created>
  <dcterms:modified xsi:type="dcterms:W3CDTF">2026-05-02T16:29:22Z</dcterms:modified>
</cp:coreProperties>
</file>