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5"/>
    <sheet state="visible" name="Глоссарий" sheetId="2" r:id="rId6"/>
    <sheet state="visible" name="Узбекистан" sheetId="3" r:id="rId7"/>
  </sheets>
  <definedNames/>
  <calcPr/>
</workbook>
</file>

<file path=xl/sharedStrings.xml><?xml version="1.0" encoding="utf-8"?>
<sst xmlns="http://schemas.openxmlformats.org/spreadsheetml/2006/main" count="489" uniqueCount="292">
  <si>
    <t>Этот файл – шаблон для сбора данных по уровню «область».</t>
  </si>
  <si>
    <t>Нужно заполнить значения за 2021–2025 годы и план на 2026.</t>
  </si>
  <si>
    <t>Как заполнять</t>
  </si>
  <si>
    <t>1.  Сверху листа укажите название (страна / область / город).</t>
  </si>
  <si>
    <t>2.  Заполняйте только синие ячейки (2021–2025) и зелёные (план 2026).</t>
  </si>
  <si>
    <t>3.  Жёлтая колонка «Пример» – не трогайте, это просто ориентир.</t>
  </si>
  <si>
    <t>4.  Знак «—» в колонке плана означает, что план для этого показателя не нужен.</t>
  </si>
  <si>
    <t>Несколько правил</t>
  </si>
  <si>
    <t>•  Все суммы в сумах (на стране внешняя торговля – в USD, как обычно).</t>
  </si>
  <si>
    <t>•  Дата – на 31 декабря каждого года.</t>
  </si>
  <si>
    <t>•  Нет данных – пишите «н/д», а не 0.</t>
  </si>
  <si>
    <t>•  Если непонятен термин – посмотрите лист «Глоссарий».</t>
  </si>
  <si>
    <t>Глоссарий</t>
  </si>
  <si>
    <t>Термин</t>
  </si>
  <si>
    <t>Определение</t>
  </si>
  <si>
    <t>ВВП</t>
  </si>
  <si>
    <t>Валовой внутренний продукт. Сумма стоимости всех товаров и услуг, произведённых на территории страны за год.</t>
  </si>
  <si>
    <t>ВРП</t>
  </si>
  <si>
    <t>Валовой региональный продукт. То же, что ВВП, но в разрезе одной области.</t>
  </si>
  <si>
    <t>ВТП</t>
  </si>
  <si>
    <t>Валовой территориальный продукт. То же, что ВВП, но в разрезе одного города или тумана.</t>
  </si>
  <si>
    <t>Возрастная структура</t>
  </si>
  <si>
    <t>Распределение населения по группам: 0–14, 15–64, 65+ лет.</t>
  </si>
  <si>
    <t>Дефицит бюджета</t>
  </si>
  <si>
    <t>Превышение расходов над доходами. Профицит – обратная ситуация.</t>
  </si>
  <si>
    <t>Семья</t>
  </si>
  <si>
    <t>Лица, связанные родством или браком. Могут жить раздельно.</t>
  </si>
  <si>
    <t>Домохозяйство</t>
  </si>
  <si>
    <t>Лица, живущие в одном жилье и ведущие общий быт. Один человек – тоже домохозяйство.</t>
  </si>
  <si>
    <t>Активный субъект</t>
  </si>
  <si>
    <t>Юр. лицо или ИП, ведущий деятельность и сдающий отчётность.</t>
  </si>
  <si>
    <t>МСБ</t>
  </si>
  <si>
    <t>Малый и средний бизнес по узбекскому законодательству.</t>
  </si>
  <si>
    <t>ЯТТ</t>
  </si>
  <si>
    <t>Якка тартибдаги тадбиркор – индивидуальный предприниматель.</t>
  </si>
  <si>
    <t>Предприятие-экспортёр</t>
  </si>
  <si>
    <t>Субъект, хотя бы раз осуществивший экспорт в отчётном году.</t>
  </si>
  <si>
    <t>Экономически активное население</t>
  </si>
  <si>
    <t>Лица 15+ лет, работающие или ищущие работу.</t>
  </si>
  <si>
    <t>Официально занятые</t>
  </si>
  <si>
    <t>С трудовым договором или зарегистрированные ИП/самозанятые.</t>
  </si>
  <si>
    <t>Неофициально занятые</t>
  </si>
  <si>
    <t>Работающие без официальной регистрации (оценка Госкомстата).</t>
  </si>
  <si>
    <t>Социальный реестр</t>
  </si>
  <si>
    <t>Единая база нуждающихся семей, получающих гос. помощь.</t>
  </si>
  <si>
    <t>Эмиграция / Иммиграция</t>
  </si>
  <si>
    <t>Выезд / прибытие на ПМЖ за год.</t>
  </si>
  <si>
    <t>Младенческая смертность</t>
  </si>
  <si>
    <t>Число смертей детей до 1 года на 1000 родившихся живыми (‰).</t>
  </si>
  <si>
    <t>Кредитный портфель</t>
  </si>
  <si>
    <t>Сумма выданных и непогашенных кредитов на конец года.</t>
  </si>
  <si>
    <t>Ипотечные / ИЖС</t>
  </si>
  <si>
    <t>Кредиты на жильё и индивидуальное жилищное строительство.</t>
  </si>
  <si>
    <t>NPL</t>
  </si>
  <si>
    <t>Non-Performing Loans – кредиты с просрочкой более 90 дней.</t>
  </si>
  <si>
    <t>Депозитный портфель</t>
  </si>
  <si>
    <t>Сумма всех вкладов физ. и юр. лиц на конец года.</t>
  </si>
  <si>
    <t>Жилой фонд</t>
  </si>
  <si>
    <t>Общая площадь всех жилых помещений.</t>
  </si>
  <si>
    <t>Введено жилья</t>
  </si>
  <si>
    <t>Площадь жилья, введённого в эксплуатацию по актам ввода.</t>
  </si>
  <si>
    <t>Аварийное жильё</t>
  </si>
  <si>
    <t>Официально признанное непригодным для проживания.</t>
  </si>
  <si>
    <t>Доля аварийного жилья, %</t>
  </si>
  <si>
    <t>Аварийное жильё ÷ жилой фонд × 100. Считается автоматически.</t>
  </si>
  <si>
    <t>Охват электр./водопр./канализ./газ, %</t>
  </si>
  <si>
    <t>Подключённые домохозяйства ÷ всего домохозяйств × 100. Считается автоматически.</t>
  </si>
  <si>
    <t>Доля дорог в хорошем состоянии, %</t>
  </si>
  <si>
    <t>Дороги в хорошем состоянии ÷ все дороги × 100. Считается автоматически.</t>
  </si>
  <si>
    <t>Доля асфальтированных дорог, %</t>
  </si>
  <si>
    <t>Асфальтированные дороги ÷ все дороги × 100. Считается автоматически.</t>
  </si>
  <si>
    <t>Покрытие 4G</t>
  </si>
  <si>
    <t>Процент территории с сетью 4G LTE.</t>
  </si>
  <si>
    <t>Ночёвки</t>
  </si>
  <si>
    <t>Человеко-ночи в объектах размещения. 1 турист × 3 ночи = 3 ночёвки.</t>
  </si>
  <si>
    <t>МТМ</t>
  </si>
  <si>
    <t>Мактабгача таълим муассасаси – детский сад.</t>
  </si>
  <si>
    <t>Махалля</t>
  </si>
  <si>
    <t>Орган самоуправления и территориальная единица в Узбекистане.</t>
  </si>
  <si>
    <t>ТБО</t>
  </si>
  <si>
    <t>Твёрдые бытовые отходы.</t>
  </si>
  <si>
    <t>План 2026</t>
  </si>
  <si>
    <t>Целевое значение показателя на конец 2026 года.</t>
  </si>
  <si>
    <t>н/д</t>
  </si>
  <si>
    <t>Нет данных. Лучше этого, чем 0.</t>
  </si>
  <si>
    <t>Golden Mart – национальный уровень (Узбекистан)</t>
  </si>
  <si>
    <t>Данные по стране за 2021–2025 + план 2026.</t>
  </si>
  <si>
    <t>Страна:</t>
  </si>
  <si>
    <t>Показатель</t>
  </si>
  <si>
    <t>Единица</t>
  </si>
  <si>
    <t>Пример</t>
  </si>
  <si>
    <t>2021</t>
  </si>
  <si>
    <t>2022</t>
  </si>
  <si>
    <t>2023</t>
  </si>
  <si>
    <t>2024</t>
  </si>
  <si>
    <t>2025</t>
  </si>
  <si>
    <t>2026 (план)</t>
  </si>
  <si>
    <t>1. Базовая информация</t>
  </si>
  <si>
    <t>Название</t>
  </si>
  <si>
    <t>текст</t>
  </si>
  <si>
    <t>Узбекистан</t>
  </si>
  <si>
    <t>—</t>
  </si>
  <si>
    <t>Административный центр</t>
  </si>
  <si>
    <t>г. Ташкент</t>
  </si>
  <si>
    <t>Площадь</t>
  </si>
  <si>
    <t>тыс. км²</t>
  </si>
  <si>
    <t>Областей (вилоятов)</t>
  </si>
  <si>
    <t>областей</t>
  </si>
  <si>
    <t>Городов областного подчинения</t>
  </si>
  <si>
    <t>городов</t>
  </si>
  <si>
    <t>Районов (туманов)</t>
  </si>
  <si>
    <t>районов</t>
  </si>
  <si>
    <t>Махаллей</t>
  </si>
  <si>
    <t>махаллей</t>
  </si>
  <si>
    <t>Население постоянное</t>
  </si>
  <si>
    <t>млн чел.</t>
  </si>
  <si>
    <t xml:space="preserve">  Мужчин</t>
  </si>
  <si>
    <t xml:space="preserve">  Женщин</t>
  </si>
  <si>
    <t xml:space="preserve">  Городское население</t>
  </si>
  <si>
    <t xml:space="preserve">  Сельское население</t>
  </si>
  <si>
    <t xml:space="preserve">  Население 0–14 лет</t>
  </si>
  <si>
    <t xml:space="preserve">  Население 15–64 лет</t>
  </si>
  <si>
    <t xml:space="preserve">  Население 65+ лет</t>
  </si>
  <si>
    <t>Семей</t>
  </si>
  <si>
    <t>млн</t>
  </si>
  <si>
    <t>Домохозяйств</t>
  </si>
  <si>
    <t>2. Экономика – объёмы</t>
  </si>
  <si>
    <t>ВВП (валовой внутренний продукт)</t>
  </si>
  <si>
    <t>трлн сум</t>
  </si>
  <si>
    <t xml:space="preserve">  Промышленность – объём</t>
  </si>
  <si>
    <t xml:space="preserve">  Услуги – объём</t>
  </si>
  <si>
    <t xml:space="preserve">  Розничная торговля – объём</t>
  </si>
  <si>
    <t xml:space="preserve">  Строительство – объём</t>
  </si>
  <si>
    <t xml:space="preserve">  Сельское хозяйство – объём</t>
  </si>
  <si>
    <t>Инвестиции в основной капитал</t>
  </si>
  <si>
    <t>3. Бюджет</t>
  </si>
  <si>
    <t>Доходы бюджета – всего</t>
  </si>
  <si>
    <t xml:space="preserve">  Налоговые поступления</t>
  </si>
  <si>
    <t xml:space="preserve">  Неналоговые доходы</t>
  </si>
  <si>
    <t xml:space="preserve">  Трансферты из вышестоящ. бюджета</t>
  </si>
  <si>
    <t>Расходы бюджета – всего</t>
  </si>
  <si>
    <t xml:space="preserve">  Социальная сфера</t>
  </si>
  <si>
    <t xml:space="preserve">  Инфраструктура и экономика</t>
  </si>
  <si>
    <t xml:space="preserve">  Управление и прочее</t>
  </si>
  <si>
    <t>Дефицит / Профицит бюджета</t>
  </si>
  <si>
    <t>Государственный долг</t>
  </si>
  <si>
    <t>4. Внешняя торговля</t>
  </si>
  <si>
    <t>Товарооборот</t>
  </si>
  <si>
    <t>млн USD</t>
  </si>
  <si>
    <t>Экспорт</t>
  </si>
  <si>
    <t>Импорт</t>
  </si>
  <si>
    <t>Сальдо торговли (экспорт − импорт)</t>
  </si>
  <si>
    <t>5. Основные торговые партнёры</t>
  </si>
  <si>
    <t>Экспорт – страна 1: название</t>
  </si>
  <si>
    <t>Россия</t>
  </si>
  <si>
    <t>Экспорт – страна 1: объём</t>
  </si>
  <si>
    <t>Экспорт – страна 2: название</t>
  </si>
  <si>
    <t>Китай</t>
  </si>
  <si>
    <t>Экспорт – страна 2: объём</t>
  </si>
  <si>
    <t>Экспорт – страна 3: название</t>
  </si>
  <si>
    <t>Казахстан</t>
  </si>
  <si>
    <t>Экспорт – страна 3: объём</t>
  </si>
  <si>
    <t>Импорт – страна 1: название</t>
  </si>
  <si>
    <t>Импорт – страна 1: объём</t>
  </si>
  <si>
    <t>Импорт – страна 2: название</t>
  </si>
  <si>
    <t>Импорт – страна 2: объём</t>
  </si>
  <si>
    <t>Импорт – страна 3: название</t>
  </si>
  <si>
    <t>Импорт – страна 3: объём</t>
  </si>
  <si>
    <t>6. Инвестиции по источникам</t>
  </si>
  <si>
    <t>Собственные средства предприятий</t>
  </si>
  <si>
    <t>Иностранные инвестиции</t>
  </si>
  <si>
    <t>Госбюджет</t>
  </si>
  <si>
    <t>Банковские кредиты</t>
  </si>
  <si>
    <t>Средства населения</t>
  </si>
  <si>
    <t>Фонд реконструкции</t>
  </si>
  <si>
    <t>7. Предпринимательство</t>
  </si>
  <si>
    <t>Активных субъектов – всего</t>
  </si>
  <si>
    <t>тыс.</t>
  </si>
  <si>
    <t xml:space="preserve">  ООО</t>
  </si>
  <si>
    <t xml:space="preserve">  ИП (ЯТТ)</t>
  </si>
  <si>
    <t xml:space="preserve">  Фермерские хозяйства</t>
  </si>
  <si>
    <t xml:space="preserve">  Прочие</t>
  </si>
  <si>
    <t>Неактивных (приостановл.)</t>
  </si>
  <si>
    <t>Открыто новых за год</t>
  </si>
  <si>
    <t>Закрыто за год</t>
  </si>
  <si>
    <t>Предприятий-экспортёров</t>
  </si>
  <si>
    <t>шт.</t>
  </si>
  <si>
    <t>8. Рынок труда</t>
  </si>
  <si>
    <t>Официально занятых</t>
  </si>
  <si>
    <t>Неофициально занятых</t>
  </si>
  <si>
    <t>Безработных</t>
  </si>
  <si>
    <t>тыс. чел.</t>
  </si>
  <si>
    <t>Уровень безработицы</t>
  </si>
  <si>
    <t>%</t>
  </si>
  <si>
    <t>Создано новых рабочих мест за год</t>
  </si>
  <si>
    <t>тыс. раб. мест</t>
  </si>
  <si>
    <t>Трудовых мигрантов за рубежом</t>
  </si>
  <si>
    <t>Средняя номинальная зарплата – всего</t>
  </si>
  <si>
    <t>тыс. сум/мес</t>
  </si>
  <si>
    <t xml:space="preserve">  в промышленности</t>
  </si>
  <si>
    <t xml:space="preserve">  в услугах</t>
  </si>
  <si>
    <t xml:space="preserve">  в торговле</t>
  </si>
  <si>
    <t xml:space="preserve">  в строительстве</t>
  </si>
  <si>
    <t xml:space="preserve">  в бюджетной сфере</t>
  </si>
  <si>
    <t xml:space="preserve">  в сельском хозяйстве</t>
  </si>
  <si>
    <t>9. Бедность и социальная сфера</t>
  </si>
  <si>
    <t>Семей в Социальном реестре</t>
  </si>
  <si>
    <t>Семей в бедности на начало года</t>
  </si>
  <si>
    <t>Семей в бедности на конец года</t>
  </si>
  <si>
    <t>Покрытие Соц. реестром (от семей в бедности нач. года), %</t>
  </si>
  <si>
    <t>Пенсионеров</t>
  </si>
  <si>
    <t>Родившихся за год</t>
  </si>
  <si>
    <t>Умерших за год</t>
  </si>
  <si>
    <t>Эмиграция</t>
  </si>
  <si>
    <t>Иммиграция</t>
  </si>
  <si>
    <t>Заключено браков за год</t>
  </si>
  <si>
    <t>тыс. браков</t>
  </si>
  <si>
    <t>Разводов за год</t>
  </si>
  <si>
    <t>тыс. разводов</t>
  </si>
  <si>
    <t>10. Образование</t>
  </si>
  <si>
    <t>Школ (общеобразовательных)</t>
  </si>
  <si>
    <t xml:space="preserve">  Учеников в школах</t>
  </si>
  <si>
    <t xml:space="preserve">  Учителей</t>
  </si>
  <si>
    <t>Колледжей / техникумов</t>
  </si>
  <si>
    <t xml:space="preserve">  Студентов в колледжах</t>
  </si>
  <si>
    <t>Вузов</t>
  </si>
  <si>
    <t xml:space="preserve">  Студентов в вузах</t>
  </si>
  <si>
    <t>Детских садов (МТМ)</t>
  </si>
  <si>
    <t xml:space="preserve">  Детей в детсадах</t>
  </si>
  <si>
    <t>11. Здравоохранение</t>
  </si>
  <si>
    <t>Больниц</t>
  </si>
  <si>
    <t>Поликлиник / ЦРП</t>
  </si>
  <si>
    <t>Койко-мест</t>
  </si>
  <si>
    <t>Врачей</t>
  </si>
  <si>
    <t>Медсестёр и ср. мед. персонала</t>
  </si>
  <si>
    <t>Младенческая смертность (на 1000 родившихся)</t>
  </si>
  <si>
    <t>‰</t>
  </si>
  <si>
    <t>12. Банковский сектор</t>
  </si>
  <si>
    <t>Кредитный портфель – всего</t>
  </si>
  <si>
    <t xml:space="preserve">  Кредиты МСБ</t>
  </si>
  <si>
    <t xml:space="preserve">  Кредиты экспортёрам</t>
  </si>
  <si>
    <t xml:space="preserve">  Кредиты физлицам</t>
  </si>
  <si>
    <t xml:space="preserve">  в т.ч. ипотечные / ИЖС</t>
  </si>
  <si>
    <t xml:space="preserve">  Прочие кредиты</t>
  </si>
  <si>
    <t>Выдано кредитов за год</t>
  </si>
  <si>
    <t>Депозитный портфель – всего</t>
  </si>
  <si>
    <t xml:space="preserve">  Депозиты юр. лиц</t>
  </si>
  <si>
    <t xml:space="preserve">  Депозиты физ. лиц</t>
  </si>
  <si>
    <t>Просроченная задолженность (NPL)</t>
  </si>
  <si>
    <t>13. Туризм</t>
  </si>
  <si>
    <t>Иностранных туристов</t>
  </si>
  <si>
    <t>Внутренних туристов</t>
  </si>
  <si>
    <t>Объектов размещения</t>
  </si>
  <si>
    <t>Номеров в объектах размещения</t>
  </si>
  <si>
    <t>Ночёвок за год</t>
  </si>
  <si>
    <t>Доход от туризма (иностр. туристов)</t>
  </si>
  <si>
    <t>Доход от туризма (внутр. туристов)</t>
  </si>
  <si>
    <t>млрд сум</t>
  </si>
  <si>
    <t>14. Жильё</t>
  </si>
  <si>
    <t>Жилой фонд – всего</t>
  </si>
  <si>
    <t>млн м²</t>
  </si>
  <si>
    <t>Введено жилья за год</t>
  </si>
  <si>
    <t>Многоквартирных домов</t>
  </si>
  <si>
    <t>Частных домов</t>
  </si>
  <si>
    <t>Аварийного жилья</t>
  </si>
  <si>
    <t>15. Инфраструктура – подключения и сети</t>
  </si>
  <si>
    <t xml:space="preserve">  Подключено к электричеству</t>
  </si>
  <si>
    <t>Охват электричеством, %</t>
  </si>
  <si>
    <t xml:space="preserve">  Подключено к водопроводу</t>
  </si>
  <si>
    <t>Охват водопроводом, %</t>
  </si>
  <si>
    <t xml:space="preserve">  Подключено к канализации</t>
  </si>
  <si>
    <t>Охват канализацией, %</t>
  </si>
  <si>
    <t xml:space="preserve">  Подключено к газу</t>
  </si>
  <si>
    <t>Охват газом, %</t>
  </si>
  <si>
    <t>Трансформаторных подстанций</t>
  </si>
  <si>
    <t>Скважин водоснабжения</t>
  </si>
  <si>
    <t>Очистных сооружений</t>
  </si>
  <si>
    <t>16. Дороги</t>
  </si>
  <si>
    <t>Дороги – всего</t>
  </si>
  <si>
    <t>тыс. км</t>
  </si>
  <si>
    <t xml:space="preserve">  Асфальтированные</t>
  </si>
  <si>
    <t xml:space="preserve">  Щебень / гравий</t>
  </si>
  <si>
    <t xml:space="preserve">  Грунтовые</t>
  </si>
  <si>
    <t xml:space="preserve">  В хорошем состоянии</t>
  </si>
  <si>
    <t xml:space="preserve">  Требуют ремонта</t>
  </si>
  <si>
    <t xml:space="preserve">  Требуют капитального ремонта</t>
  </si>
  <si>
    <t>19. Цифровизация</t>
  </si>
  <si>
    <t>Онлайн-платежи (транзакций в год)</t>
  </si>
  <si>
    <t>млрд</t>
  </si>
  <si>
    <t>POS-терминалы (торговцев подключено)</t>
  </si>
  <si>
    <t>Онлайн-кредитов выдано за год</t>
  </si>
  <si>
    <t>Покрытие 4G (по площади территории)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</si>
</sst>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b/>
      <sz val="12.0"/>
      <color rgb="FF1F4E79"/>
      <name val="Arial"/>
    </font>
    <font>
      <b/>
      <sz val="14.0"/>
      <color rgb="FF1F4E79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rgb="FF7F7F7F"/>
      <name val="Arial"/>
    </font>
    <font>
      <b/>
      <sz val="11.0"/>
      <color theme="1"/>
      <name val="Arial"/>
    </font>
    <font>
      <sz val="10.0"/>
      <color rgb="FF0000FF"/>
      <name val="Arial"/>
    </font>
    <font>
      <b/>
      <sz val="11.0"/>
      <color rgb="FF1F4E79"/>
      <name val="Arial"/>
    </font>
    <font/>
    <font>
      <i/>
      <sz val="10.0"/>
      <color rgb="FF806000"/>
      <name val="Arial"/>
    </font>
    <font>
      <i/>
      <sz val="10.0"/>
      <color rgb="FFA6A6A6"/>
      <name val="Arial"/>
    </font>
    <font>
      <sz val="10.0"/>
      <color rgb="FF2E7D32"/>
      <name val="Arial"/>
    </font>
    <font>
      <i/>
      <sz val="10.0"/>
      <color rgb="FF6A1B9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D32"/>
        <bgColor rgb="FF2E7D3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8F5E9"/>
        <bgColor rgb="FFE8F5E9"/>
      </patternFill>
    </fill>
    <fill>
      <patternFill patternType="solid">
        <fgColor rgb="FFEDE7F6"/>
        <bgColor rgb="FFEDE7F6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left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2" fillId="4" fontId="11" numFmtId="0" xfId="0" applyAlignment="1" applyBorder="1" applyFill="1" applyFont="1">
      <alignment horizontal="left" shrinkToFit="0" vertical="center" wrapText="1"/>
    </xf>
    <xf borderId="3" fillId="0" fontId="12" numFmtId="0" xfId="0" applyBorder="1" applyFont="1"/>
    <xf borderId="4" fillId="0" fontId="12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1" fillId="5" fontId="13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6" fontId="14" numFmtId="0" xfId="0" applyAlignment="1" applyBorder="1" applyFill="1" applyFont="1">
      <alignment horizontal="center" shrinkToFit="0" vertical="center" wrapText="1"/>
    </xf>
    <xf borderId="1" fillId="5" fontId="13" numFmtId="3" xfId="0" applyAlignment="1" applyBorder="1" applyFont="1" applyNumberFormat="1">
      <alignment horizontal="center" shrinkToFit="0" vertical="center" wrapText="1"/>
    </xf>
    <xf borderId="1" fillId="0" fontId="10" numFmtId="3" xfId="0" applyAlignment="1" applyBorder="1" applyFont="1" applyNumberFormat="1">
      <alignment horizontal="center" shrinkToFit="0" vertical="center" wrapText="1"/>
    </xf>
    <xf borderId="1" fillId="5" fontId="13" numFmtId="164" xfId="0" applyAlignment="1" applyBorder="1" applyFont="1" applyNumberFormat="1">
      <alignment horizontal="center" shrinkToFit="0" vertical="center" wrapText="1"/>
    </xf>
    <xf borderId="1" fillId="0" fontId="10" numFmtId="164" xfId="0" applyAlignment="1" applyBorder="1" applyFont="1" applyNumberFormat="1">
      <alignment horizontal="center" shrinkToFit="0" vertical="center" wrapText="1"/>
    </xf>
    <xf borderId="1" fillId="7" fontId="15" numFmtId="164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bottom" wrapText="0"/>
    </xf>
    <xf borderId="5" fillId="8" fontId="7" numFmtId="3" xfId="0" applyAlignment="1" applyBorder="1" applyFill="1" applyFont="1" applyNumberFormat="1">
      <alignment horizontal="center" shrinkToFit="0" vertical="bottom" wrapText="0"/>
    </xf>
    <xf borderId="5" fillId="7" fontId="7" numFmtId="3" xfId="0" applyAlignment="1" applyBorder="1" applyFont="1" applyNumberFormat="1">
      <alignment horizontal="center" shrinkToFit="0" vertical="bottom" wrapText="0"/>
    </xf>
    <xf borderId="1" fillId="7" fontId="15" numFmtId="3" xfId="0" applyAlignment="1" applyBorder="1" applyFont="1" applyNumberFormat="1">
      <alignment horizontal="center" shrinkToFit="0" vertical="center" wrapText="1"/>
    </xf>
    <xf borderId="5" fillId="8" fontId="7" numFmtId="165" xfId="0" applyAlignment="1" applyBorder="1" applyFont="1" applyNumberFormat="1">
      <alignment horizontal="center" shrinkToFit="0" vertical="bottom" wrapText="0"/>
    </xf>
    <xf borderId="5" fillId="6" fontId="7" numFmtId="0" xfId="0" applyAlignment="1" applyBorder="1" applyFont="1">
      <alignment horizontal="center" shrinkToFit="0" vertical="bottom" wrapText="0"/>
    </xf>
    <xf borderId="5" fillId="5" fontId="7" numFmtId="3" xfId="0" applyAlignment="1" applyBorder="1" applyFont="1" applyNumberFormat="1">
      <alignment horizontal="center" shrinkToFit="0" vertical="bottom" wrapText="0"/>
    </xf>
    <xf borderId="0" fillId="0" fontId="7" numFmtId="3" xfId="0" applyAlignment="1" applyFont="1" applyNumberFormat="1">
      <alignment horizontal="center" shrinkToFit="0" vertical="bottom" wrapText="0"/>
    </xf>
    <xf borderId="5" fillId="5" fontId="7" numFmtId="4" xfId="0" applyAlignment="1" applyBorder="1" applyFont="1" applyNumberFormat="1">
      <alignment horizontal="center" shrinkToFit="0" vertical="bottom" wrapText="0"/>
    </xf>
    <xf borderId="0" fillId="0" fontId="7" numFmtId="4" xfId="0" applyAlignment="1" applyFont="1" applyNumberFormat="1">
      <alignment horizontal="center" shrinkToFit="0" vertical="bottom" wrapText="0"/>
    </xf>
    <xf borderId="5" fillId="7" fontId="7" numFmtId="4" xfId="0" applyAlignment="1" applyBorder="1" applyFont="1" applyNumberFormat="1">
      <alignment horizontal="center" shrinkToFit="0" vertical="bottom" wrapText="0"/>
    </xf>
    <xf borderId="1" fillId="5" fontId="13" numFmtId="165" xfId="0" applyAlignment="1" applyBorder="1" applyFont="1" applyNumberFormat="1">
      <alignment horizontal="center" shrinkToFit="0" vertical="center" wrapText="1"/>
    </xf>
    <xf borderId="1" fillId="0" fontId="10" numFmtId="165" xfId="0" applyAlignment="1" applyBorder="1" applyFont="1" applyNumberFormat="1">
      <alignment horizontal="center" shrinkToFit="0" vertical="center" wrapText="1"/>
    </xf>
    <xf borderId="1" fillId="7" fontId="15" numFmtId="165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1" fillId="8" fontId="16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0.0"/>
    <col customWidth="1" min="3" max="6" width="8.71"/>
  </cols>
  <sheetData>
    <row r="1">
      <c r="A1" s="1"/>
      <c r="B1" s="1"/>
    </row>
    <row r="2" ht="19.5" customHeight="1">
      <c r="A2" s="1"/>
      <c r="B2" s="2" t="s">
        <v>0</v>
      </c>
    </row>
    <row r="3" ht="19.5" customHeight="1">
      <c r="A3" s="1"/>
      <c r="B3" s="2" t="s">
        <v>1</v>
      </c>
    </row>
    <row r="4" ht="19.5" customHeight="1">
      <c r="A4" s="1"/>
      <c r="B4" s="3"/>
    </row>
    <row r="5" ht="19.5" customHeight="1">
      <c r="A5" s="1"/>
      <c r="B5" s="4" t="s">
        <v>2</v>
      </c>
    </row>
    <row r="6" ht="19.5" customHeight="1">
      <c r="A6" s="1"/>
      <c r="B6" s="3"/>
    </row>
    <row r="7" ht="19.5" customHeight="1">
      <c r="A7" s="1"/>
      <c r="B7" s="2" t="s">
        <v>3</v>
      </c>
    </row>
    <row r="8" ht="19.5" customHeight="1">
      <c r="A8" s="1"/>
      <c r="B8" s="2" t="s">
        <v>4</v>
      </c>
    </row>
    <row r="9" ht="19.5" customHeight="1">
      <c r="A9" s="1"/>
      <c r="B9" s="2" t="s">
        <v>5</v>
      </c>
    </row>
    <row r="10" ht="19.5" customHeight="1">
      <c r="A10" s="1"/>
      <c r="B10" s="2" t="s">
        <v>6</v>
      </c>
    </row>
    <row r="11" ht="19.5" customHeight="1">
      <c r="A11" s="1"/>
      <c r="B11" s="3"/>
    </row>
    <row r="12" ht="19.5" customHeight="1">
      <c r="A12" s="1"/>
      <c r="B12" s="4" t="s">
        <v>7</v>
      </c>
    </row>
    <row r="13" ht="19.5" customHeight="1">
      <c r="A13" s="1"/>
      <c r="B13" s="3"/>
    </row>
    <row r="14" ht="19.5" customHeight="1">
      <c r="A14" s="1"/>
      <c r="B14" s="2" t="s">
        <v>8</v>
      </c>
    </row>
    <row r="15" ht="19.5" customHeight="1">
      <c r="A15" s="1"/>
      <c r="B15" s="2" t="s">
        <v>9</v>
      </c>
    </row>
    <row r="16" ht="19.5" customHeight="1">
      <c r="A16" s="1"/>
      <c r="B16" s="2" t="s">
        <v>10</v>
      </c>
    </row>
    <row r="17" ht="19.5" customHeight="1">
      <c r="A17" s="1"/>
      <c r="B17" s="2" t="s">
        <v>11</v>
      </c>
    </row>
    <row r="18" ht="19.5" customHeight="1">
      <c r="A18" s="1"/>
      <c r="B18" s="5"/>
    </row>
    <row r="19" ht="19.5" customHeight="1">
      <c r="A19" s="1"/>
      <c r="B19" s="5"/>
    </row>
    <row r="20" ht="19.5" customHeight="1">
      <c r="A20" s="1"/>
      <c r="B20" s="5"/>
    </row>
    <row r="21" ht="19.5" customHeight="1">
      <c r="A21" s="1"/>
      <c r="B21" s="5"/>
    </row>
    <row r="22" ht="19.5" customHeight="1">
      <c r="A22" s="1"/>
      <c r="B22" s="5"/>
    </row>
    <row r="23" ht="19.5" customHeight="1">
      <c r="A23" s="1"/>
      <c r="B23" s="5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38.0"/>
    <col customWidth="1" min="3" max="3" width="90.0"/>
    <col customWidth="1" min="4" max="6" width="8.71"/>
  </cols>
  <sheetData>
    <row r="1">
      <c r="A1" s="1"/>
      <c r="B1" s="1"/>
      <c r="C1" s="1"/>
    </row>
    <row r="2">
      <c r="A2" s="1"/>
      <c r="B2" s="6" t="s">
        <v>12</v>
      </c>
      <c r="C2" s="1"/>
    </row>
    <row r="3">
      <c r="A3" s="1"/>
      <c r="B3" s="1"/>
      <c r="C3" s="1"/>
    </row>
    <row r="4" ht="25.5" customHeight="1">
      <c r="A4" s="1"/>
      <c r="B4" s="7" t="s">
        <v>13</v>
      </c>
      <c r="C4" s="7" t="s">
        <v>14</v>
      </c>
    </row>
    <row r="5" ht="30.0" customHeight="1">
      <c r="A5" s="1"/>
      <c r="B5" s="8" t="s">
        <v>15</v>
      </c>
      <c r="C5" s="9" t="s">
        <v>16</v>
      </c>
    </row>
    <row r="6" ht="27.75" customHeight="1">
      <c r="A6" s="1"/>
      <c r="B6" s="8" t="s">
        <v>17</v>
      </c>
      <c r="C6" s="9" t="s">
        <v>18</v>
      </c>
    </row>
    <row r="7" ht="30.0" customHeight="1">
      <c r="A7" s="1"/>
      <c r="B7" s="8" t="s">
        <v>19</v>
      </c>
      <c r="C7" s="9" t="s">
        <v>20</v>
      </c>
    </row>
    <row r="8" ht="27.75" customHeight="1">
      <c r="A8" s="1"/>
      <c r="B8" s="8" t="s">
        <v>21</v>
      </c>
      <c r="C8" s="9" t="s">
        <v>22</v>
      </c>
    </row>
    <row r="9" ht="27.75" customHeight="1">
      <c r="A9" s="1"/>
      <c r="B9" s="8" t="s">
        <v>23</v>
      </c>
      <c r="C9" s="9" t="s">
        <v>24</v>
      </c>
    </row>
    <row r="10" ht="27.75" customHeight="1">
      <c r="A10" s="1"/>
      <c r="B10" s="8" t="s">
        <v>25</v>
      </c>
      <c r="C10" s="9" t="s">
        <v>26</v>
      </c>
    </row>
    <row r="11" ht="30.0" customHeight="1">
      <c r="A11" s="1"/>
      <c r="B11" s="8" t="s">
        <v>27</v>
      </c>
      <c r="C11" s="9" t="s">
        <v>28</v>
      </c>
    </row>
    <row r="12" ht="27.75" customHeight="1">
      <c r="A12" s="1"/>
      <c r="B12" s="8" t="s">
        <v>29</v>
      </c>
      <c r="C12" s="9" t="s">
        <v>30</v>
      </c>
    </row>
    <row r="13" ht="27.75" customHeight="1">
      <c r="A13" s="1"/>
      <c r="B13" s="8" t="s">
        <v>31</v>
      </c>
      <c r="C13" s="9" t="s">
        <v>32</v>
      </c>
    </row>
    <row r="14" ht="27.75" customHeight="1">
      <c r="A14" s="1"/>
      <c r="B14" s="8" t="s">
        <v>33</v>
      </c>
      <c r="C14" s="9" t="s">
        <v>34</v>
      </c>
    </row>
    <row r="15" ht="27.75" customHeight="1">
      <c r="A15" s="1"/>
      <c r="B15" s="8" t="s">
        <v>35</v>
      </c>
      <c r="C15" s="9" t="s">
        <v>36</v>
      </c>
    </row>
    <row r="16" ht="27.75" customHeight="1">
      <c r="A16" s="1"/>
      <c r="B16" s="8" t="s">
        <v>37</v>
      </c>
      <c r="C16" s="9" t="s">
        <v>38</v>
      </c>
    </row>
    <row r="17" ht="27.75" customHeight="1">
      <c r="A17" s="1"/>
      <c r="B17" s="8" t="s">
        <v>39</v>
      </c>
      <c r="C17" s="9" t="s">
        <v>40</v>
      </c>
    </row>
    <row r="18" ht="27.75" customHeight="1">
      <c r="A18" s="1"/>
      <c r="B18" s="8" t="s">
        <v>41</v>
      </c>
      <c r="C18" s="9" t="s">
        <v>42</v>
      </c>
    </row>
    <row r="19" ht="27.75" customHeight="1">
      <c r="A19" s="1"/>
      <c r="B19" s="8" t="s">
        <v>43</v>
      </c>
      <c r="C19" s="9" t="s">
        <v>44</v>
      </c>
    </row>
    <row r="20" ht="27.75" customHeight="1">
      <c r="A20" s="1"/>
      <c r="B20" s="8" t="s">
        <v>45</v>
      </c>
      <c r="C20" s="9" t="s">
        <v>46</v>
      </c>
    </row>
    <row r="21" ht="27.75" customHeight="1">
      <c r="A21" s="1"/>
      <c r="B21" s="8" t="s">
        <v>47</v>
      </c>
      <c r="C21" s="9" t="s">
        <v>48</v>
      </c>
    </row>
    <row r="22" ht="27.75" customHeight="1">
      <c r="A22" s="1"/>
      <c r="B22" s="8" t="s">
        <v>49</v>
      </c>
      <c r="C22" s="9" t="s">
        <v>50</v>
      </c>
    </row>
    <row r="23" ht="27.75" customHeight="1">
      <c r="A23" s="1"/>
      <c r="B23" s="8" t="s">
        <v>51</v>
      </c>
      <c r="C23" s="9" t="s">
        <v>52</v>
      </c>
    </row>
    <row r="24" ht="27.75" customHeight="1">
      <c r="A24" s="1"/>
      <c r="B24" s="8" t="s">
        <v>53</v>
      </c>
      <c r="C24" s="9" t="s">
        <v>54</v>
      </c>
    </row>
    <row r="25" ht="27.75" customHeight="1">
      <c r="A25" s="1"/>
      <c r="B25" s="8" t="s">
        <v>55</v>
      </c>
      <c r="C25" s="9" t="s">
        <v>56</v>
      </c>
    </row>
    <row r="26" ht="27.75" customHeight="1">
      <c r="A26" s="1"/>
      <c r="B26" s="8" t="s">
        <v>57</v>
      </c>
      <c r="C26" s="9" t="s">
        <v>58</v>
      </c>
    </row>
    <row r="27" ht="27.75" customHeight="1">
      <c r="A27" s="1"/>
      <c r="B27" s="8" t="s">
        <v>59</v>
      </c>
      <c r="C27" s="9" t="s">
        <v>60</v>
      </c>
    </row>
    <row r="28" ht="27.75" customHeight="1">
      <c r="A28" s="1"/>
      <c r="B28" s="8" t="s">
        <v>61</v>
      </c>
      <c r="C28" s="9" t="s">
        <v>62</v>
      </c>
    </row>
    <row r="29" ht="27.75" customHeight="1">
      <c r="A29" s="1"/>
      <c r="B29" s="8" t="s">
        <v>63</v>
      </c>
      <c r="C29" s="9" t="s">
        <v>64</v>
      </c>
    </row>
    <row r="30" ht="27.75" customHeight="1">
      <c r="A30" s="1"/>
      <c r="B30" s="8" t="s">
        <v>65</v>
      </c>
      <c r="C30" s="9" t="s">
        <v>66</v>
      </c>
    </row>
    <row r="31" ht="27.75" customHeight="1">
      <c r="A31" s="1"/>
      <c r="B31" s="8" t="s">
        <v>67</v>
      </c>
      <c r="C31" s="9" t="s">
        <v>68</v>
      </c>
    </row>
    <row r="32" ht="27.75" customHeight="1">
      <c r="A32" s="1"/>
      <c r="B32" s="8" t="s">
        <v>69</v>
      </c>
      <c r="C32" s="9" t="s">
        <v>70</v>
      </c>
    </row>
    <row r="33" ht="27.75" customHeight="1">
      <c r="A33" s="1"/>
      <c r="B33" s="8" t="s">
        <v>71</v>
      </c>
      <c r="C33" s="9" t="s">
        <v>72</v>
      </c>
    </row>
    <row r="34" ht="27.75" customHeight="1">
      <c r="A34" s="1"/>
      <c r="B34" s="8" t="s">
        <v>73</v>
      </c>
      <c r="C34" s="9" t="s">
        <v>74</v>
      </c>
    </row>
    <row r="35" ht="27.75" customHeight="1">
      <c r="A35" s="1"/>
      <c r="B35" s="8" t="s">
        <v>75</v>
      </c>
      <c r="C35" s="9" t="s">
        <v>76</v>
      </c>
    </row>
    <row r="36" ht="27.75" customHeight="1">
      <c r="A36" s="1"/>
      <c r="B36" s="8" t="s">
        <v>77</v>
      </c>
      <c r="C36" s="9" t="s">
        <v>78</v>
      </c>
    </row>
    <row r="37" ht="27.75" customHeight="1">
      <c r="A37" s="1"/>
      <c r="B37" s="8" t="s">
        <v>79</v>
      </c>
      <c r="C37" s="9" t="s">
        <v>80</v>
      </c>
    </row>
    <row r="38" ht="27.75" customHeight="1">
      <c r="A38" s="1"/>
      <c r="B38" s="8" t="s">
        <v>81</v>
      </c>
      <c r="C38" s="9" t="s">
        <v>82</v>
      </c>
    </row>
    <row r="39" ht="27.75" customHeight="1">
      <c r="A39" s="1"/>
      <c r="B39" s="8" t="s">
        <v>83</v>
      </c>
      <c r="C39" s="9" t="s">
        <v>84</v>
      </c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2.0"/>
    <col customWidth="1" min="2" max="2" width="50.0"/>
    <col customWidth="1" min="3" max="3" width="16.0"/>
    <col customWidth="1" min="4" max="4" width="18.0"/>
    <col customWidth="1" min="5" max="9" width="13.0"/>
    <col customWidth="1" min="10" max="10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6" t="s">
        <v>85</v>
      </c>
      <c r="C2" s="1"/>
      <c r="D2" s="1"/>
      <c r="E2" s="1"/>
      <c r="F2" s="1"/>
      <c r="G2" s="1"/>
      <c r="H2" s="1"/>
      <c r="I2" s="1"/>
      <c r="J2" s="1"/>
    </row>
    <row r="3">
      <c r="A3" s="1"/>
      <c r="B3" s="10" t="s">
        <v>86</v>
      </c>
      <c r="C3" s="1"/>
      <c r="D3" s="1"/>
      <c r="E3" s="1"/>
      <c r="F3" s="1"/>
      <c r="G3" s="1"/>
      <c r="H3" s="1"/>
      <c r="I3" s="1"/>
      <c r="J3" s="1"/>
    </row>
    <row r="4">
      <c r="A4" s="1"/>
      <c r="B4" s="11" t="s">
        <v>87</v>
      </c>
      <c r="C4" s="12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 ht="27.75" customHeight="1">
      <c r="A6" s="1"/>
      <c r="B6" s="7" t="s">
        <v>88</v>
      </c>
      <c r="C6" s="7" t="s">
        <v>89</v>
      </c>
      <c r="D6" s="7" t="s">
        <v>90</v>
      </c>
      <c r="E6" s="7" t="s">
        <v>91</v>
      </c>
      <c r="F6" s="7" t="s">
        <v>92</v>
      </c>
      <c r="G6" s="7" t="s">
        <v>93</v>
      </c>
      <c r="H6" s="7" t="s">
        <v>94</v>
      </c>
      <c r="I6" s="7" t="s">
        <v>95</v>
      </c>
      <c r="J6" s="13" t="s">
        <v>96</v>
      </c>
    </row>
    <row r="7" ht="15.0" customHeight="1">
      <c r="A7" s="1"/>
      <c r="B7" s="14" t="s">
        <v>97</v>
      </c>
      <c r="C7" s="15"/>
      <c r="D7" s="15"/>
      <c r="E7" s="15"/>
      <c r="F7" s="15"/>
      <c r="G7" s="15"/>
      <c r="H7" s="15"/>
      <c r="I7" s="15"/>
      <c r="J7" s="16"/>
    </row>
    <row r="8">
      <c r="A8" s="1"/>
      <c r="B8" s="17" t="s">
        <v>98</v>
      </c>
      <c r="C8" s="17" t="s">
        <v>99</v>
      </c>
      <c r="D8" s="18" t="s">
        <v>100</v>
      </c>
      <c r="E8" s="19"/>
      <c r="F8" s="19"/>
      <c r="G8" s="19"/>
      <c r="H8" s="19"/>
      <c r="I8" s="19"/>
      <c r="J8" s="20" t="s">
        <v>101</v>
      </c>
    </row>
    <row r="9">
      <c r="A9" s="1"/>
      <c r="B9" s="17" t="s">
        <v>102</v>
      </c>
      <c r="C9" s="17" t="s">
        <v>99</v>
      </c>
      <c r="D9" s="18" t="s">
        <v>103</v>
      </c>
      <c r="E9" s="19"/>
      <c r="F9" s="19"/>
      <c r="G9" s="19"/>
      <c r="H9" s="19"/>
      <c r="I9" s="19"/>
      <c r="J9" s="20" t="s">
        <v>101</v>
      </c>
    </row>
    <row r="10">
      <c r="A10" s="1"/>
      <c r="B10" s="17" t="s">
        <v>104</v>
      </c>
      <c r="C10" s="17" t="s">
        <v>105</v>
      </c>
      <c r="D10" s="21">
        <v>448.9</v>
      </c>
      <c r="E10" s="22"/>
      <c r="F10" s="22"/>
      <c r="G10" s="22"/>
      <c r="H10" s="22"/>
      <c r="I10" s="22"/>
      <c r="J10" s="20" t="s">
        <v>101</v>
      </c>
    </row>
    <row r="11">
      <c r="A11" s="1"/>
      <c r="B11" s="17" t="s">
        <v>106</v>
      </c>
      <c r="C11" s="17" t="s">
        <v>107</v>
      </c>
      <c r="D11" s="21">
        <v>14.0</v>
      </c>
      <c r="E11" s="22"/>
      <c r="F11" s="22"/>
      <c r="G11" s="22"/>
      <c r="H11" s="22"/>
      <c r="I11" s="22"/>
      <c r="J11" s="20" t="s">
        <v>101</v>
      </c>
    </row>
    <row r="12">
      <c r="A12" s="1"/>
      <c r="B12" s="17" t="s">
        <v>108</v>
      </c>
      <c r="C12" s="17" t="s">
        <v>109</v>
      </c>
      <c r="D12" s="21">
        <v>120.0</v>
      </c>
      <c r="E12" s="22"/>
      <c r="F12" s="22"/>
      <c r="G12" s="22"/>
      <c r="H12" s="22"/>
      <c r="I12" s="22"/>
      <c r="J12" s="20" t="s">
        <v>101</v>
      </c>
    </row>
    <row r="13">
      <c r="A13" s="1"/>
      <c r="B13" s="17" t="s">
        <v>110</v>
      </c>
      <c r="C13" s="17" t="s">
        <v>111</v>
      </c>
      <c r="D13" s="21">
        <v>208.0</v>
      </c>
      <c r="E13" s="22"/>
      <c r="F13" s="22"/>
      <c r="G13" s="22"/>
      <c r="H13" s="22"/>
      <c r="I13" s="22"/>
      <c r="J13" s="20" t="s">
        <v>101</v>
      </c>
    </row>
    <row r="14">
      <c r="A14" s="1"/>
      <c r="B14" s="17" t="s">
        <v>112</v>
      </c>
      <c r="C14" s="17" t="s">
        <v>113</v>
      </c>
      <c r="D14" s="21">
        <v>8998.0</v>
      </c>
      <c r="E14" s="22"/>
      <c r="F14" s="22"/>
      <c r="G14" s="22"/>
      <c r="H14" s="22"/>
      <c r="I14" s="22"/>
      <c r="J14" s="20" t="s">
        <v>101</v>
      </c>
    </row>
    <row r="15">
      <c r="A15" s="1"/>
      <c r="B15" s="17" t="s">
        <v>114</v>
      </c>
      <c r="C15" s="17" t="s">
        <v>115</v>
      </c>
      <c r="D15" s="23">
        <v>36.8</v>
      </c>
      <c r="E15" s="24"/>
      <c r="F15" s="24"/>
      <c r="G15" s="24"/>
      <c r="H15" s="24"/>
      <c r="I15" s="24"/>
      <c r="J15" s="25"/>
    </row>
    <row r="16">
      <c r="A16" s="1"/>
      <c r="B16" s="17" t="s">
        <v>116</v>
      </c>
      <c r="C16" s="17" t="s">
        <v>115</v>
      </c>
      <c r="D16" s="23">
        <v>18.3</v>
      </c>
      <c r="E16" s="24"/>
      <c r="F16" s="24"/>
      <c r="G16" s="24"/>
      <c r="H16" s="24"/>
      <c r="I16" s="24"/>
      <c r="J16" s="20" t="s">
        <v>101</v>
      </c>
    </row>
    <row r="17">
      <c r="A17" s="1"/>
      <c r="B17" s="17" t="s">
        <v>117</v>
      </c>
      <c r="C17" s="17" t="s">
        <v>115</v>
      </c>
      <c r="D17" s="23">
        <v>18.5</v>
      </c>
      <c r="E17" s="24"/>
      <c r="F17" s="24"/>
      <c r="G17" s="24"/>
      <c r="H17" s="24"/>
      <c r="I17" s="24"/>
      <c r="J17" s="20" t="s">
        <v>101</v>
      </c>
    </row>
    <row r="18">
      <c r="A18" s="1"/>
      <c r="B18" s="17" t="s">
        <v>118</v>
      </c>
      <c r="C18" s="17" t="s">
        <v>115</v>
      </c>
      <c r="D18" s="23">
        <v>18.9</v>
      </c>
      <c r="E18" s="24"/>
      <c r="F18" s="24"/>
      <c r="G18" s="24"/>
      <c r="H18" s="24"/>
      <c r="I18" s="24"/>
      <c r="J18" s="20" t="s">
        <v>101</v>
      </c>
    </row>
    <row r="19">
      <c r="A19" s="1"/>
      <c r="B19" s="17" t="s">
        <v>119</v>
      </c>
      <c r="C19" s="17" t="s">
        <v>115</v>
      </c>
      <c r="D19" s="23">
        <v>17.9</v>
      </c>
      <c r="E19" s="24"/>
      <c r="F19" s="24"/>
      <c r="G19" s="24"/>
      <c r="H19" s="24"/>
      <c r="I19" s="24"/>
      <c r="J19" s="20" t="s">
        <v>101</v>
      </c>
    </row>
    <row r="20">
      <c r="A20" s="1"/>
      <c r="B20" s="17" t="s">
        <v>120</v>
      </c>
      <c r="C20" s="17" t="s">
        <v>115</v>
      </c>
      <c r="D20" s="23">
        <v>10.9</v>
      </c>
      <c r="E20" s="24"/>
      <c r="F20" s="24"/>
      <c r="G20" s="24"/>
      <c r="H20" s="24"/>
      <c r="I20" s="24"/>
      <c r="J20" s="20" t="s">
        <v>101</v>
      </c>
    </row>
    <row r="21" ht="15.75" customHeight="1">
      <c r="A21" s="1"/>
      <c r="B21" s="17" t="s">
        <v>121</v>
      </c>
      <c r="C21" s="17" t="s">
        <v>115</v>
      </c>
      <c r="D21" s="23">
        <v>23.4</v>
      </c>
      <c r="E21" s="24"/>
      <c r="F21" s="24"/>
      <c r="G21" s="24"/>
      <c r="H21" s="24"/>
      <c r="I21" s="24"/>
      <c r="J21" s="20" t="s">
        <v>101</v>
      </c>
    </row>
    <row r="22" ht="15.75" customHeight="1">
      <c r="A22" s="1"/>
      <c r="B22" s="17" t="s">
        <v>122</v>
      </c>
      <c r="C22" s="17" t="s">
        <v>115</v>
      </c>
      <c r="D22" s="23">
        <v>2.5</v>
      </c>
      <c r="E22" s="24"/>
      <c r="F22" s="24"/>
      <c r="G22" s="24"/>
      <c r="H22" s="24"/>
      <c r="I22" s="24"/>
      <c r="J22" s="20" t="s">
        <v>101</v>
      </c>
    </row>
    <row r="23" ht="15.75" customHeight="1">
      <c r="A23" s="1"/>
      <c r="B23" s="17" t="s">
        <v>123</v>
      </c>
      <c r="C23" s="17" t="s">
        <v>124</v>
      </c>
      <c r="D23" s="23">
        <v>8.9</v>
      </c>
      <c r="E23" s="24"/>
      <c r="F23" s="24"/>
      <c r="G23" s="24"/>
      <c r="H23" s="24"/>
      <c r="I23" s="24"/>
      <c r="J23" s="20" t="s">
        <v>101</v>
      </c>
    </row>
    <row r="24" ht="15.75" customHeight="1">
      <c r="A24" s="1"/>
      <c r="B24" s="17" t="s">
        <v>125</v>
      </c>
      <c r="C24" s="17" t="s">
        <v>124</v>
      </c>
      <c r="D24" s="23">
        <v>9.2</v>
      </c>
      <c r="E24" s="24"/>
      <c r="F24" s="24"/>
      <c r="G24" s="24"/>
      <c r="H24" s="24"/>
      <c r="I24" s="24"/>
      <c r="J24" s="20" t="s">
        <v>101</v>
      </c>
    </row>
    <row r="25" ht="15.0" customHeight="1">
      <c r="A25" s="1"/>
      <c r="B25" s="14" t="s">
        <v>126</v>
      </c>
      <c r="C25" s="15"/>
      <c r="D25" s="15"/>
      <c r="E25" s="15"/>
      <c r="F25" s="15"/>
      <c r="G25" s="15"/>
      <c r="H25" s="15"/>
      <c r="I25" s="15"/>
      <c r="J25" s="16"/>
    </row>
    <row r="26" ht="15.75" customHeight="1">
      <c r="A26" s="1"/>
      <c r="B26" s="17" t="s">
        <v>127</v>
      </c>
      <c r="C26" s="17" t="s">
        <v>128</v>
      </c>
      <c r="D26" s="23">
        <v>1250.0</v>
      </c>
      <c r="E26" s="24"/>
      <c r="F26" s="24"/>
      <c r="G26" s="24"/>
      <c r="H26" s="24"/>
      <c r="I26" s="24"/>
      <c r="J26" s="25"/>
    </row>
    <row r="27" ht="15.75" customHeight="1">
      <c r="A27" s="1"/>
      <c r="B27" s="17" t="s">
        <v>129</v>
      </c>
      <c r="C27" s="17" t="s">
        <v>128</v>
      </c>
      <c r="D27" s="23">
        <v>340.0</v>
      </c>
      <c r="E27" s="24"/>
      <c r="F27" s="24"/>
      <c r="G27" s="24"/>
      <c r="H27" s="24"/>
      <c r="I27" s="24"/>
      <c r="J27" s="25"/>
    </row>
    <row r="28" ht="15.75" customHeight="1">
      <c r="A28" s="1"/>
      <c r="B28" s="17" t="s">
        <v>130</v>
      </c>
      <c r="C28" s="17" t="s">
        <v>128</v>
      </c>
      <c r="D28" s="23">
        <v>420.0</v>
      </c>
      <c r="E28" s="24"/>
      <c r="F28" s="24"/>
      <c r="G28" s="24"/>
      <c r="H28" s="24"/>
      <c r="I28" s="24"/>
      <c r="J28" s="25"/>
    </row>
    <row r="29" ht="15.75" customHeight="1">
      <c r="A29" s="1"/>
      <c r="B29" s="17" t="s">
        <v>131</v>
      </c>
      <c r="C29" s="17" t="s">
        <v>128</v>
      </c>
      <c r="D29" s="23">
        <v>180.0</v>
      </c>
      <c r="E29" s="24"/>
      <c r="F29" s="24"/>
      <c r="G29" s="24"/>
      <c r="H29" s="24"/>
      <c r="I29" s="24"/>
      <c r="J29" s="25"/>
    </row>
    <row r="30" ht="15.75" customHeight="1">
      <c r="A30" s="1"/>
      <c r="B30" s="17" t="s">
        <v>132</v>
      </c>
      <c r="C30" s="17" t="s">
        <v>128</v>
      </c>
      <c r="D30" s="23">
        <v>95.0</v>
      </c>
      <c r="E30" s="24"/>
      <c r="F30" s="24"/>
      <c r="G30" s="24"/>
      <c r="H30" s="24"/>
      <c r="I30" s="24"/>
      <c r="J30" s="25"/>
    </row>
    <row r="31" ht="15.75" customHeight="1">
      <c r="A31" s="1"/>
      <c r="B31" s="17" t="s">
        <v>133</v>
      </c>
      <c r="C31" s="17" t="s">
        <v>128</v>
      </c>
      <c r="D31" s="23">
        <v>150.0</v>
      </c>
      <c r="E31" s="24"/>
      <c r="F31" s="24"/>
      <c r="G31" s="24"/>
      <c r="H31" s="24"/>
      <c r="I31" s="24"/>
      <c r="J31" s="25"/>
    </row>
    <row r="32" ht="15.75" customHeight="1">
      <c r="A32" s="1"/>
      <c r="B32" s="17" t="s">
        <v>134</v>
      </c>
      <c r="C32" s="17" t="s">
        <v>128</v>
      </c>
      <c r="D32" s="23">
        <v>390.0</v>
      </c>
      <c r="E32" s="24"/>
      <c r="F32" s="24"/>
      <c r="G32" s="24"/>
      <c r="H32" s="24"/>
      <c r="I32" s="24"/>
      <c r="J32" s="25"/>
    </row>
    <row r="33" ht="15.0" customHeight="1">
      <c r="A33" s="1"/>
      <c r="B33" s="14" t="s">
        <v>135</v>
      </c>
      <c r="C33" s="15"/>
      <c r="D33" s="15"/>
      <c r="E33" s="15"/>
      <c r="F33" s="15"/>
      <c r="G33" s="15"/>
      <c r="H33" s="15"/>
      <c r="I33" s="15"/>
      <c r="J33" s="16"/>
    </row>
    <row r="34" ht="15.75" customHeight="1">
      <c r="A34" s="1"/>
      <c r="B34" s="17" t="s">
        <v>136</v>
      </c>
      <c r="C34" s="17" t="s">
        <v>128</v>
      </c>
      <c r="D34" s="23">
        <v>295.0</v>
      </c>
      <c r="E34" s="24"/>
      <c r="F34" s="24"/>
      <c r="G34" s="24"/>
      <c r="H34" s="24"/>
      <c r="I34" s="24"/>
      <c r="J34" s="25"/>
    </row>
    <row r="35" ht="15.75" customHeight="1">
      <c r="A35" s="1"/>
      <c r="B35" s="17" t="s">
        <v>137</v>
      </c>
      <c r="C35" s="17" t="s">
        <v>128</v>
      </c>
      <c r="D35" s="23">
        <v>230.0</v>
      </c>
      <c r="E35" s="24"/>
      <c r="F35" s="24"/>
      <c r="G35" s="24"/>
      <c r="H35" s="24"/>
      <c r="I35" s="24"/>
      <c r="J35" s="25"/>
    </row>
    <row r="36" ht="15.75" customHeight="1">
      <c r="A36" s="1"/>
      <c r="B36" s="17" t="s">
        <v>138</v>
      </c>
      <c r="C36" s="17" t="s">
        <v>128</v>
      </c>
      <c r="D36" s="23">
        <v>45.0</v>
      </c>
      <c r="E36" s="24"/>
      <c r="F36" s="24"/>
      <c r="G36" s="24"/>
      <c r="H36" s="24"/>
      <c r="I36" s="24"/>
      <c r="J36" s="25"/>
    </row>
    <row r="37" ht="15.75" customHeight="1">
      <c r="A37" s="1"/>
      <c r="B37" s="17" t="s">
        <v>139</v>
      </c>
      <c r="C37" s="17" t="s">
        <v>128</v>
      </c>
      <c r="D37" s="23">
        <v>20.0</v>
      </c>
      <c r="E37" s="24"/>
      <c r="F37" s="24"/>
      <c r="G37" s="24"/>
      <c r="H37" s="24"/>
      <c r="I37" s="24"/>
      <c r="J37" s="25"/>
    </row>
    <row r="38" ht="15.75" customHeight="1">
      <c r="A38" s="1"/>
      <c r="B38" s="17" t="s">
        <v>140</v>
      </c>
      <c r="C38" s="17" t="s">
        <v>128</v>
      </c>
      <c r="D38" s="23">
        <v>310.0</v>
      </c>
      <c r="E38" s="24"/>
      <c r="F38" s="24"/>
      <c r="G38" s="24"/>
      <c r="H38" s="24"/>
      <c r="I38" s="24"/>
      <c r="J38" s="25"/>
    </row>
    <row r="39" ht="15.75" customHeight="1">
      <c r="A39" s="1"/>
      <c r="B39" s="17" t="s">
        <v>141</v>
      </c>
      <c r="C39" s="17" t="s">
        <v>128</v>
      </c>
      <c r="D39" s="23">
        <v>155.0</v>
      </c>
      <c r="E39" s="24"/>
      <c r="F39" s="24"/>
      <c r="G39" s="24"/>
      <c r="H39" s="24"/>
      <c r="I39" s="24"/>
      <c r="J39" s="25"/>
    </row>
    <row r="40" ht="15.75" customHeight="1">
      <c r="A40" s="1"/>
      <c r="B40" s="17" t="s">
        <v>142</v>
      </c>
      <c r="C40" s="17" t="s">
        <v>128</v>
      </c>
      <c r="D40" s="23">
        <v>95.0</v>
      </c>
      <c r="E40" s="24"/>
      <c r="F40" s="24"/>
      <c r="G40" s="24"/>
      <c r="H40" s="24"/>
      <c r="I40" s="24"/>
      <c r="J40" s="25"/>
    </row>
    <row r="41" ht="15.75" customHeight="1">
      <c r="A41" s="1"/>
      <c r="B41" s="17" t="s">
        <v>143</v>
      </c>
      <c r="C41" s="17" t="s">
        <v>128</v>
      </c>
      <c r="D41" s="23">
        <v>60.0</v>
      </c>
      <c r="E41" s="24"/>
      <c r="F41" s="24"/>
      <c r="G41" s="24"/>
      <c r="H41" s="24"/>
      <c r="I41" s="24"/>
      <c r="J41" s="25"/>
    </row>
    <row r="42" ht="15.75" customHeight="1">
      <c r="A42" s="1"/>
      <c r="B42" s="17" t="s">
        <v>144</v>
      </c>
      <c r="C42" s="17" t="s">
        <v>128</v>
      </c>
      <c r="D42" s="23">
        <v>-15.0</v>
      </c>
      <c r="E42" s="24"/>
      <c r="F42" s="24"/>
      <c r="G42" s="24"/>
      <c r="H42" s="24"/>
      <c r="I42" s="24"/>
      <c r="J42" s="25"/>
    </row>
    <row r="43" ht="15.75" customHeight="1">
      <c r="A43" s="1"/>
      <c r="B43" s="17" t="s">
        <v>145</v>
      </c>
      <c r="C43" s="17" t="s">
        <v>128</v>
      </c>
      <c r="D43" s="23">
        <v>450.0</v>
      </c>
      <c r="E43" s="24"/>
      <c r="F43" s="24"/>
      <c r="G43" s="24"/>
      <c r="H43" s="24"/>
      <c r="I43" s="24"/>
      <c r="J43" s="20" t="s">
        <v>101</v>
      </c>
    </row>
    <row r="44" ht="15.0" customHeight="1">
      <c r="A44" s="1"/>
      <c r="B44" s="14" t="s">
        <v>146</v>
      </c>
      <c r="C44" s="15"/>
      <c r="D44" s="15"/>
      <c r="E44" s="15"/>
      <c r="F44" s="15"/>
      <c r="G44" s="15"/>
      <c r="H44" s="15"/>
      <c r="I44" s="15"/>
      <c r="J44" s="16"/>
    </row>
    <row r="45" ht="15.75" customHeight="1">
      <c r="A45" s="1"/>
      <c r="B45" s="17" t="s">
        <v>147</v>
      </c>
      <c r="C45" s="17" t="s">
        <v>148</v>
      </c>
      <c r="D45" s="23">
        <v>62000.0</v>
      </c>
      <c r="E45" s="24"/>
      <c r="F45" s="24"/>
      <c r="G45" s="24"/>
      <c r="H45" s="24"/>
      <c r="I45" s="24"/>
      <c r="J45" s="25"/>
    </row>
    <row r="46" ht="15.75" customHeight="1">
      <c r="A46" s="1"/>
      <c r="B46" s="17" t="s">
        <v>149</v>
      </c>
      <c r="C46" s="17" t="s">
        <v>148</v>
      </c>
      <c r="D46" s="23">
        <v>24400.0</v>
      </c>
      <c r="E46" s="24"/>
      <c r="F46" s="24"/>
      <c r="G46" s="24"/>
      <c r="H46" s="24"/>
      <c r="I46" s="24"/>
      <c r="J46" s="25"/>
    </row>
    <row r="47" ht="15.75" customHeight="1">
      <c r="A47" s="1"/>
      <c r="B47" s="17" t="s">
        <v>150</v>
      </c>
      <c r="C47" s="17" t="s">
        <v>148</v>
      </c>
      <c r="D47" s="23">
        <v>37600.0</v>
      </c>
      <c r="E47" s="24"/>
      <c r="F47" s="24"/>
      <c r="G47" s="24"/>
      <c r="H47" s="24"/>
      <c r="I47" s="24"/>
      <c r="J47" s="25"/>
    </row>
    <row r="48" ht="15.0" customHeight="1">
      <c r="B48" s="26" t="s">
        <v>151</v>
      </c>
      <c r="C48" s="26" t="s">
        <v>148</v>
      </c>
      <c r="D48" s="27">
        <f>D46-D47</f>
        <v>-13200</v>
      </c>
      <c r="E48" s="27">
        <f t="shared" ref="E48:I48" si="1">IFERROR(E46-E47,"")</f>
        <v>0</v>
      </c>
      <c r="F48" s="27">
        <f t="shared" si="1"/>
        <v>0</v>
      </c>
      <c r="G48" s="27">
        <f t="shared" si="1"/>
        <v>0</v>
      </c>
      <c r="H48" s="27">
        <f t="shared" si="1"/>
        <v>0</v>
      </c>
      <c r="I48" s="27">
        <f t="shared" si="1"/>
        <v>0</v>
      </c>
      <c r="J48" s="28"/>
    </row>
    <row r="49" ht="15.75" customHeight="1">
      <c r="A49" s="1"/>
      <c r="B49" s="14" t="s">
        <v>152</v>
      </c>
      <c r="C49" s="15"/>
      <c r="D49" s="15"/>
      <c r="E49" s="15"/>
      <c r="F49" s="15"/>
      <c r="G49" s="15"/>
      <c r="H49" s="15"/>
      <c r="I49" s="15"/>
      <c r="J49" s="16"/>
    </row>
    <row r="50" ht="15.75" customHeight="1">
      <c r="A50" s="1"/>
      <c r="B50" s="17" t="s">
        <v>153</v>
      </c>
      <c r="C50" s="17" t="s">
        <v>99</v>
      </c>
      <c r="D50" s="18" t="s">
        <v>154</v>
      </c>
      <c r="E50" s="19"/>
      <c r="F50" s="19"/>
      <c r="G50" s="19"/>
      <c r="H50" s="19"/>
      <c r="I50" s="19"/>
      <c r="J50" s="20" t="s">
        <v>101</v>
      </c>
    </row>
    <row r="51" ht="15.75" customHeight="1">
      <c r="A51" s="1"/>
      <c r="B51" s="17" t="s">
        <v>155</v>
      </c>
      <c r="C51" s="17" t="s">
        <v>148</v>
      </c>
      <c r="D51" s="23">
        <v>4200.0</v>
      </c>
      <c r="E51" s="24"/>
      <c r="F51" s="24"/>
      <c r="G51" s="24"/>
      <c r="H51" s="24"/>
      <c r="I51" s="24"/>
      <c r="J51" s="20" t="s">
        <v>101</v>
      </c>
    </row>
    <row r="52" ht="15.75" customHeight="1">
      <c r="A52" s="1"/>
      <c r="B52" s="17" t="s">
        <v>156</v>
      </c>
      <c r="C52" s="17" t="s">
        <v>99</v>
      </c>
      <c r="D52" s="18" t="s">
        <v>157</v>
      </c>
      <c r="E52" s="19"/>
      <c r="F52" s="19"/>
      <c r="G52" s="19"/>
      <c r="H52" s="19"/>
      <c r="I52" s="19"/>
      <c r="J52" s="20" t="s">
        <v>101</v>
      </c>
    </row>
    <row r="53" ht="15.75" customHeight="1">
      <c r="A53" s="1"/>
      <c r="B53" s="17" t="s">
        <v>158</v>
      </c>
      <c r="C53" s="17" t="s">
        <v>148</v>
      </c>
      <c r="D53" s="23">
        <v>3800.0</v>
      </c>
      <c r="E53" s="24"/>
      <c r="F53" s="24"/>
      <c r="G53" s="24"/>
      <c r="H53" s="24"/>
      <c r="I53" s="24"/>
      <c r="J53" s="20" t="s">
        <v>101</v>
      </c>
    </row>
    <row r="54" ht="15.75" customHeight="1">
      <c r="A54" s="1"/>
      <c r="B54" s="17" t="s">
        <v>159</v>
      </c>
      <c r="C54" s="17" t="s">
        <v>99</v>
      </c>
      <c r="D54" s="18" t="s">
        <v>160</v>
      </c>
      <c r="E54" s="19"/>
      <c r="F54" s="19"/>
      <c r="G54" s="19"/>
      <c r="H54" s="19"/>
      <c r="I54" s="19"/>
      <c r="J54" s="20" t="s">
        <v>101</v>
      </c>
    </row>
    <row r="55" ht="15.75" customHeight="1">
      <c r="A55" s="1"/>
      <c r="B55" s="17" t="s">
        <v>161</v>
      </c>
      <c r="C55" s="17" t="s">
        <v>148</v>
      </c>
      <c r="D55" s="23">
        <v>2600.0</v>
      </c>
      <c r="E55" s="24"/>
      <c r="F55" s="24"/>
      <c r="G55" s="24"/>
      <c r="H55" s="24"/>
      <c r="I55" s="24"/>
      <c r="J55" s="20" t="s">
        <v>101</v>
      </c>
    </row>
    <row r="56" ht="15.75" customHeight="1">
      <c r="A56" s="1"/>
      <c r="B56" s="17" t="s">
        <v>162</v>
      </c>
      <c r="C56" s="17" t="s">
        <v>99</v>
      </c>
      <c r="D56" s="18" t="s">
        <v>157</v>
      </c>
      <c r="E56" s="19"/>
      <c r="F56" s="19"/>
      <c r="G56" s="19"/>
      <c r="H56" s="19"/>
      <c r="I56" s="19"/>
      <c r="J56" s="20" t="s">
        <v>101</v>
      </c>
    </row>
    <row r="57" ht="15.75" customHeight="1">
      <c r="A57" s="1"/>
      <c r="B57" s="17" t="s">
        <v>163</v>
      </c>
      <c r="C57" s="17" t="s">
        <v>148</v>
      </c>
      <c r="D57" s="23">
        <v>8900.0</v>
      </c>
      <c r="E57" s="24"/>
      <c r="F57" s="24"/>
      <c r="G57" s="24"/>
      <c r="H57" s="24"/>
      <c r="I57" s="24"/>
      <c r="J57" s="20" t="s">
        <v>101</v>
      </c>
    </row>
    <row r="58" ht="15.75" customHeight="1">
      <c r="A58" s="1"/>
      <c r="B58" s="17" t="s">
        <v>164</v>
      </c>
      <c r="C58" s="17" t="s">
        <v>99</v>
      </c>
      <c r="D58" s="18" t="s">
        <v>154</v>
      </c>
      <c r="E58" s="19"/>
      <c r="F58" s="19"/>
      <c r="G58" s="19"/>
      <c r="H58" s="19"/>
      <c r="I58" s="19"/>
      <c r="J58" s="20" t="s">
        <v>101</v>
      </c>
    </row>
    <row r="59" ht="15.75" customHeight="1">
      <c r="A59" s="1"/>
      <c r="B59" s="17" t="s">
        <v>165</v>
      </c>
      <c r="C59" s="17" t="s">
        <v>148</v>
      </c>
      <c r="D59" s="23">
        <v>5700.0</v>
      </c>
      <c r="E59" s="24"/>
      <c r="F59" s="24"/>
      <c r="G59" s="24"/>
      <c r="H59" s="24"/>
      <c r="I59" s="24"/>
      <c r="J59" s="20" t="s">
        <v>101</v>
      </c>
    </row>
    <row r="60" ht="15.75" customHeight="1">
      <c r="A60" s="1"/>
      <c r="B60" s="17" t="s">
        <v>166</v>
      </c>
      <c r="C60" s="17" t="s">
        <v>99</v>
      </c>
      <c r="D60" s="18" t="s">
        <v>160</v>
      </c>
      <c r="E60" s="19"/>
      <c r="F60" s="19"/>
      <c r="G60" s="19"/>
      <c r="H60" s="19"/>
      <c r="I60" s="19"/>
      <c r="J60" s="20" t="s">
        <v>101</v>
      </c>
    </row>
    <row r="61" ht="15.0" customHeight="1">
      <c r="A61" s="1"/>
      <c r="B61" s="17" t="s">
        <v>167</v>
      </c>
      <c r="C61" s="17" t="s">
        <v>148</v>
      </c>
      <c r="D61" s="23">
        <v>3400.0</v>
      </c>
      <c r="E61" s="24"/>
      <c r="F61" s="24"/>
      <c r="G61" s="24"/>
      <c r="H61" s="24"/>
      <c r="I61" s="24"/>
      <c r="J61" s="20" t="s">
        <v>101</v>
      </c>
    </row>
    <row r="62" ht="15.75" customHeight="1">
      <c r="A62" s="1"/>
      <c r="B62" s="14" t="s">
        <v>168</v>
      </c>
      <c r="C62" s="15"/>
      <c r="D62" s="15"/>
      <c r="E62" s="15"/>
      <c r="F62" s="15"/>
      <c r="G62" s="15"/>
      <c r="H62" s="15"/>
      <c r="I62" s="15"/>
      <c r="J62" s="16"/>
    </row>
    <row r="63" ht="15.75" customHeight="1">
      <c r="A63" s="1"/>
      <c r="B63" s="17" t="s">
        <v>169</v>
      </c>
      <c r="C63" s="17" t="s">
        <v>128</v>
      </c>
      <c r="D63" s="23">
        <v>165.0</v>
      </c>
      <c r="E63" s="24"/>
      <c r="F63" s="24"/>
      <c r="G63" s="24"/>
      <c r="H63" s="24"/>
      <c r="I63" s="24"/>
      <c r="J63" s="25"/>
    </row>
    <row r="64" ht="15.75" customHeight="1">
      <c r="A64" s="1"/>
      <c r="B64" s="17" t="s">
        <v>170</v>
      </c>
      <c r="C64" s="17" t="s">
        <v>128</v>
      </c>
      <c r="D64" s="23">
        <v>78.0</v>
      </c>
      <c r="E64" s="24"/>
      <c r="F64" s="24"/>
      <c r="G64" s="24"/>
      <c r="H64" s="24"/>
      <c r="I64" s="24"/>
      <c r="J64" s="25"/>
    </row>
    <row r="65" ht="15.75" customHeight="1">
      <c r="A65" s="1"/>
      <c r="B65" s="17" t="s">
        <v>171</v>
      </c>
      <c r="C65" s="17" t="s">
        <v>128</v>
      </c>
      <c r="D65" s="23">
        <v>73.0</v>
      </c>
      <c r="E65" s="24"/>
      <c r="F65" s="24"/>
      <c r="G65" s="24"/>
      <c r="H65" s="24"/>
      <c r="I65" s="24"/>
      <c r="J65" s="25"/>
    </row>
    <row r="66" ht="15.75" customHeight="1">
      <c r="A66" s="1"/>
      <c r="B66" s="17" t="s">
        <v>172</v>
      </c>
      <c r="C66" s="17" t="s">
        <v>128</v>
      </c>
      <c r="D66" s="23">
        <v>56.0</v>
      </c>
      <c r="E66" s="24"/>
      <c r="F66" s="24"/>
      <c r="G66" s="24"/>
      <c r="H66" s="24"/>
      <c r="I66" s="24"/>
      <c r="J66" s="25"/>
    </row>
    <row r="67" ht="15.75" customHeight="1">
      <c r="A67" s="1"/>
      <c r="B67" s="17" t="s">
        <v>173</v>
      </c>
      <c r="C67" s="17" t="s">
        <v>128</v>
      </c>
      <c r="D67" s="23">
        <v>14.0</v>
      </c>
      <c r="E67" s="24"/>
      <c r="F67" s="24"/>
      <c r="G67" s="24"/>
      <c r="H67" s="24"/>
      <c r="I67" s="24"/>
      <c r="J67" s="25"/>
    </row>
    <row r="68" ht="15.0" customHeight="1">
      <c r="A68" s="1"/>
      <c r="B68" s="17" t="s">
        <v>174</v>
      </c>
      <c r="C68" s="17" t="s">
        <v>128</v>
      </c>
      <c r="D68" s="23">
        <v>4.0</v>
      </c>
      <c r="E68" s="24"/>
      <c r="F68" s="24"/>
      <c r="G68" s="24"/>
      <c r="H68" s="24"/>
      <c r="I68" s="24"/>
      <c r="J68" s="25"/>
    </row>
    <row r="69" ht="15.75" customHeight="1">
      <c r="A69" s="1"/>
      <c r="B69" s="14" t="s">
        <v>175</v>
      </c>
      <c r="C69" s="15"/>
      <c r="D69" s="15"/>
      <c r="E69" s="15"/>
      <c r="F69" s="15"/>
      <c r="G69" s="15"/>
      <c r="H69" s="15"/>
      <c r="I69" s="15"/>
      <c r="J69" s="16"/>
    </row>
    <row r="70" ht="15.75" customHeight="1">
      <c r="A70" s="1"/>
      <c r="B70" s="17" t="s">
        <v>176</v>
      </c>
      <c r="C70" s="17" t="s">
        <v>177</v>
      </c>
      <c r="D70" s="21">
        <v>680.0</v>
      </c>
      <c r="E70" s="22"/>
      <c r="F70" s="22"/>
      <c r="G70" s="22"/>
      <c r="H70" s="22"/>
      <c r="I70" s="22"/>
      <c r="J70" s="29"/>
    </row>
    <row r="71" ht="15.75" customHeight="1">
      <c r="A71" s="1"/>
      <c r="B71" s="17" t="s">
        <v>178</v>
      </c>
      <c r="C71" s="17" t="s">
        <v>177</v>
      </c>
      <c r="D71" s="21">
        <v>280.0</v>
      </c>
      <c r="E71" s="22"/>
      <c r="F71" s="22"/>
      <c r="G71" s="22"/>
      <c r="H71" s="22"/>
      <c r="I71" s="22"/>
      <c r="J71" s="29"/>
    </row>
    <row r="72" ht="15.75" customHeight="1">
      <c r="A72" s="1"/>
      <c r="B72" s="17" t="s">
        <v>179</v>
      </c>
      <c r="C72" s="17" t="s">
        <v>177</v>
      </c>
      <c r="D72" s="21">
        <v>340.0</v>
      </c>
      <c r="E72" s="22"/>
      <c r="F72" s="22"/>
      <c r="G72" s="22"/>
      <c r="H72" s="22"/>
      <c r="I72" s="22"/>
      <c r="J72" s="29"/>
    </row>
    <row r="73" ht="15.75" customHeight="1">
      <c r="A73" s="1"/>
      <c r="B73" s="17" t="s">
        <v>180</v>
      </c>
      <c r="C73" s="17" t="s">
        <v>177</v>
      </c>
      <c r="D73" s="21">
        <v>95.0</v>
      </c>
      <c r="E73" s="22"/>
      <c r="F73" s="22"/>
      <c r="G73" s="22"/>
      <c r="H73" s="22"/>
      <c r="I73" s="22"/>
      <c r="J73" s="29"/>
    </row>
    <row r="74" ht="15.75" customHeight="1">
      <c r="A74" s="1"/>
      <c r="B74" s="17" t="s">
        <v>181</v>
      </c>
      <c r="C74" s="17" t="s">
        <v>177</v>
      </c>
      <c r="D74" s="21">
        <v>8.0</v>
      </c>
      <c r="E74" s="22"/>
      <c r="F74" s="22"/>
      <c r="G74" s="22"/>
      <c r="H74" s="22"/>
      <c r="I74" s="22"/>
      <c r="J74" s="20" t="s">
        <v>101</v>
      </c>
    </row>
    <row r="75" ht="15.75" customHeight="1">
      <c r="A75" s="1"/>
      <c r="B75" s="17" t="s">
        <v>182</v>
      </c>
      <c r="C75" s="17" t="s">
        <v>177</v>
      </c>
      <c r="D75" s="21">
        <v>95.0</v>
      </c>
      <c r="E75" s="22"/>
      <c r="F75" s="22"/>
      <c r="G75" s="22"/>
      <c r="H75" s="22"/>
      <c r="I75" s="22"/>
      <c r="J75" s="20" t="s">
        <v>101</v>
      </c>
    </row>
    <row r="76" ht="15.75" customHeight="1">
      <c r="A76" s="1"/>
      <c r="B76" s="17" t="s">
        <v>183</v>
      </c>
      <c r="C76" s="17" t="s">
        <v>177</v>
      </c>
      <c r="D76" s="21">
        <v>120.0</v>
      </c>
      <c r="E76" s="22"/>
      <c r="F76" s="22"/>
      <c r="G76" s="22"/>
      <c r="H76" s="22"/>
      <c r="I76" s="22"/>
      <c r="J76" s="29"/>
    </row>
    <row r="77" ht="15.75" customHeight="1">
      <c r="A77" s="1"/>
      <c r="B77" s="17" t="s">
        <v>184</v>
      </c>
      <c r="C77" s="17" t="s">
        <v>177</v>
      </c>
      <c r="D77" s="21">
        <v>65.0</v>
      </c>
      <c r="E77" s="22"/>
      <c r="F77" s="22"/>
      <c r="G77" s="22"/>
      <c r="H77" s="22"/>
      <c r="I77" s="22"/>
      <c r="J77" s="20" t="s">
        <v>101</v>
      </c>
    </row>
    <row r="78" ht="15.0" customHeight="1">
      <c r="A78" s="1"/>
      <c r="B78" s="17" t="s">
        <v>185</v>
      </c>
      <c r="C78" s="17" t="s">
        <v>186</v>
      </c>
      <c r="D78" s="21">
        <v>8500.0</v>
      </c>
      <c r="E78" s="22"/>
      <c r="F78" s="22"/>
      <c r="G78" s="22"/>
      <c r="H78" s="22"/>
      <c r="I78" s="22"/>
      <c r="J78" s="29"/>
    </row>
    <row r="79" ht="15.75" customHeight="1">
      <c r="A79" s="1"/>
      <c r="B79" s="14" t="s">
        <v>187</v>
      </c>
      <c r="C79" s="15"/>
      <c r="D79" s="15"/>
      <c r="E79" s="15"/>
      <c r="F79" s="15"/>
      <c r="G79" s="15"/>
      <c r="H79" s="15"/>
      <c r="I79" s="15"/>
      <c r="J79" s="16"/>
    </row>
    <row r="80" ht="15.75" customHeight="1">
      <c r="A80" s="1"/>
      <c r="B80" s="17" t="s">
        <v>37</v>
      </c>
      <c r="C80" s="17" t="s">
        <v>115</v>
      </c>
      <c r="D80" s="23">
        <v>15.5</v>
      </c>
      <c r="E80" s="24"/>
      <c r="F80" s="24"/>
      <c r="G80" s="24"/>
      <c r="H80" s="24"/>
      <c r="I80" s="24"/>
      <c r="J80" s="20" t="s">
        <v>101</v>
      </c>
    </row>
    <row r="81" ht="15.75" customHeight="1">
      <c r="A81" s="1"/>
      <c r="B81" s="17" t="s">
        <v>188</v>
      </c>
      <c r="C81" s="17" t="s">
        <v>115</v>
      </c>
      <c r="D81" s="23">
        <v>13.9</v>
      </c>
      <c r="E81" s="24"/>
      <c r="F81" s="24"/>
      <c r="G81" s="24"/>
      <c r="H81" s="24"/>
      <c r="I81" s="24"/>
      <c r="J81" s="25"/>
    </row>
    <row r="82" ht="15.75" customHeight="1">
      <c r="A82" s="1"/>
      <c r="B82" s="17" t="s">
        <v>189</v>
      </c>
      <c r="C82" s="17" t="s">
        <v>115</v>
      </c>
      <c r="D82" s="23">
        <v>5.8</v>
      </c>
      <c r="E82" s="24"/>
      <c r="F82" s="24"/>
      <c r="G82" s="24"/>
      <c r="H82" s="24"/>
      <c r="I82" s="24"/>
      <c r="J82" s="20" t="s">
        <v>101</v>
      </c>
    </row>
    <row r="83" ht="15.75" customHeight="1">
      <c r="A83" s="1"/>
      <c r="B83" s="17" t="s">
        <v>190</v>
      </c>
      <c r="C83" s="17" t="s">
        <v>191</v>
      </c>
      <c r="D83" s="21">
        <v>680.0</v>
      </c>
      <c r="E83" s="22"/>
      <c r="F83" s="22"/>
      <c r="G83" s="22"/>
      <c r="H83" s="22"/>
      <c r="I83" s="22"/>
      <c r="J83" s="29"/>
    </row>
    <row r="84" ht="15.75" customHeight="1">
      <c r="B84" s="26" t="s">
        <v>192</v>
      </c>
      <c r="C84" s="26" t="s">
        <v>193</v>
      </c>
      <c r="D84" s="30">
        <f>D83/(D80*1000)*100</f>
        <v>4.387096774</v>
      </c>
      <c r="E84" s="30" t="str">
        <f t="shared" ref="E84:I84" si="2">IFERROR(E83/(E80*1000)*100,"")</f>
        <v/>
      </c>
      <c r="F84" s="30" t="str">
        <f t="shared" si="2"/>
        <v/>
      </c>
      <c r="G84" s="30" t="str">
        <f t="shared" si="2"/>
        <v/>
      </c>
      <c r="H84" s="30" t="str">
        <f t="shared" si="2"/>
        <v/>
      </c>
      <c r="I84" s="30" t="str">
        <f t="shared" si="2"/>
        <v/>
      </c>
      <c r="J84" s="31" t="s">
        <v>101</v>
      </c>
    </row>
    <row r="85" ht="15.75" customHeight="1">
      <c r="B85" s="26" t="s">
        <v>194</v>
      </c>
      <c r="C85" s="26" t="s">
        <v>195</v>
      </c>
      <c r="D85" s="32">
        <v>450.0</v>
      </c>
      <c r="E85" s="33"/>
      <c r="F85" s="33"/>
      <c r="G85" s="33"/>
      <c r="H85" s="33"/>
      <c r="I85" s="33"/>
      <c r="J85" s="28"/>
    </row>
    <row r="86" ht="15.75" customHeight="1">
      <c r="A86" s="1"/>
      <c r="B86" s="17" t="s">
        <v>196</v>
      </c>
      <c r="C86" s="17" t="s">
        <v>115</v>
      </c>
      <c r="D86" s="23">
        <v>1.8</v>
      </c>
      <c r="E86" s="24"/>
      <c r="F86" s="24"/>
      <c r="G86" s="24"/>
      <c r="H86" s="24"/>
      <c r="I86" s="24"/>
      <c r="J86" s="20" t="s">
        <v>101</v>
      </c>
    </row>
    <row r="87" ht="15.75" customHeight="1">
      <c r="A87" s="1"/>
      <c r="B87" s="17" t="s">
        <v>197</v>
      </c>
      <c r="C87" s="17" t="s">
        <v>198</v>
      </c>
      <c r="D87" s="21">
        <v>5100.0</v>
      </c>
      <c r="E87" s="22"/>
      <c r="F87" s="22"/>
      <c r="G87" s="22"/>
      <c r="H87" s="22"/>
      <c r="I87" s="22"/>
      <c r="J87" s="29"/>
    </row>
    <row r="88" ht="15.75" customHeight="1">
      <c r="A88" s="1"/>
      <c r="B88" s="17" t="s">
        <v>199</v>
      </c>
      <c r="C88" s="17" t="s">
        <v>198</v>
      </c>
      <c r="D88" s="21">
        <v>6800.0</v>
      </c>
      <c r="E88" s="22"/>
      <c r="F88" s="22"/>
      <c r="G88" s="22"/>
      <c r="H88" s="22"/>
      <c r="I88" s="22"/>
      <c r="J88" s="29"/>
    </row>
    <row r="89" ht="15.75" customHeight="1">
      <c r="A89" s="1"/>
      <c r="B89" s="17" t="s">
        <v>200</v>
      </c>
      <c r="C89" s="17" t="s">
        <v>198</v>
      </c>
      <c r="D89" s="21">
        <v>5400.0</v>
      </c>
      <c r="E89" s="22"/>
      <c r="F89" s="22"/>
      <c r="G89" s="22"/>
      <c r="H89" s="22"/>
      <c r="I89" s="22"/>
      <c r="J89" s="29"/>
    </row>
    <row r="90" ht="15.75" customHeight="1">
      <c r="A90" s="1"/>
      <c r="B90" s="17" t="s">
        <v>201</v>
      </c>
      <c r="C90" s="17" t="s">
        <v>198</v>
      </c>
      <c r="D90" s="21">
        <v>5000.0</v>
      </c>
      <c r="E90" s="22"/>
      <c r="F90" s="22"/>
      <c r="G90" s="22"/>
      <c r="H90" s="22"/>
      <c r="I90" s="22"/>
      <c r="J90" s="29"/>
    </row>
    <row r="91" ht="15.0" customHeight="1">
      <c r="A91" s="1"/>
      <c r="B91" s="17" t="s">
        <v>202</v>
      </c>
      <c r="C91" s="17" t="s">
        <v>198</v>
      </c>
      <c r="D91" s="21">
        <v>6200.0</v>
      </c>
      <c r="E91" s="22"/>
      <c r="F91" s="22"/>
      <c r="G91" s="22"/>
      <c r="H91" s="22"/>
      <c r="I91" s="22"/>
      <c r="J91" s="29"/>
    </row>
    <row r="92" ht="15.75" customHeight="1">
      <c r="A92" s="1"/>
      <c r="B92" s="17" t="s">
        <v>203</v>
      </c>
      <c r="C92" s="17" t="s">
        <v>198</v>
      </c>
      <c r="D92" s="21">
        <v>4300.0</v>
      </c>
      <c r="E92" s="22"/>
      <c r="F92" s="22"/>
      <c r="G92" s="22"/>
      <c r="H92" s="22"/>
      <c r="I92" s="22"/>
      <c r="J92" s="29"/>
    </row>
    <row r="93" ht="15.75" customHeight="1">
      <c r="A93" s="1"/>
      <c r="B93" s="17" t="s">
        <v>204</v>
      </c>
      <c r="C93" s="17" t="s">
        <v>198</v>
      </c>
      <c r="D93" s="21">
        <v>3700.0</v>
      </c>
      <c r="E93" s="22"/>
      <c r="F93" s="22"/>
      <c r="G93" s="22"/>
      <c r="H93" s="22"/>
      <c r="I93" s="22"/>
      <c r="J93" s="29"/>
    </row>
    <row r="94" ht="15.75" customHeight="1">
      <c r="A94" s="1"/>
      <c r="B94" s="14" t="s">
        <v>205</v>
      </c>
      <c r="C94" s="15"/>
      <c r="D94" s="15"/>
      <c r="E94" s="15"/>
      <c r="F94" s="15"/>
      <c r="G94" s="15"/>
      <c r="H94" s="15"/>
      <c r="I94" s="15"/>
      <c r="J94" s="16"/>
    </row>
    <row r="95" ht="15.75" customHeight="1">
      <c r="A95" s="1"/>
      <c r="B95" s="17" t="s">
        <v>206</v>
      </c>
      <c r="C95" s="17" t="s">
        <v>124</v>
      </c>
      <c r="D95" s="23">
        <v>1.2</v>
      </c>
      <c r="E95" s="24"/>
      <c r="F95" s="24"/>
      <c r="G95" s="24"/>
      <c r="H95" s="24"/>
      <c r="I95" s="24"/>
      <c r="J95" s="25"/>
    </row>
    <row r="96" ht="15.75" customHeight="1">
      <c r="B96" s="26" t="s">
        <v>207</v>
      </c>
      <c r="C96" s="26" t="s">
        <v>124</v>
      </c>
      <c r="D96" s="34">
        <v>1.3</v>
      </c>
      <c r="E96" s="35"/>
      <c r="F96" s="35"/>
      <c r="G96" s="35"/>
      <c r="H96" s="35"/>
      <c r="I96" s="35"/>
      <c r="J96" s="31" t="s">
        <v>101</v>
      </c>
    </row>
    <row r="97" ht="15.75" customHeight="1">
      <c r="B97" s="26" t="s">
        <v>208</v>
      </c>
      <c r="C97" s="26" t="s">
        <v>124</v>
      </c>
      <c r="D97" s="34">
        <v>1.05</v>
      </c>
      <c r="E97" s="35"/>
      <c r="F97" s="35"/>
      <c r="G97" s="35"/>
      <c r="H97" s="35"/>
      <c r="I97" s="35"/>
      <c r="J97" s="36"/>
    </row>
    <row r="98" ht="15.0" customHeight="1">
      <c r="B98" s="26" t="s">
        <v>209</v>
      </c>
      <c r="C98" s="26" t="s">
        <v>193</v>
      </c>
      <c r="D98" s="30">
        <f>D95/D96*100</f>
        <v>92.30769231</v>
      </c>
      <c r="E98" s="30" t="str">
        <f t="shared" ref="E98:I98" si="3">IFERROR(E95/E96*100,"")</f>
        <v/>
      </c>
      <c r="F98" s="30" t="str">
        <f t="shared" si="3"/>
        <v/>
      </c>
      <c r="G98" s="30" t="str">
        <f t="shared" si="3"/>
        <v/>
      </c>
      <c r="H98" s="30" t="str">
        <f t="shared" si="3"/>
        <v/>
      </c>
      <c r="I98" s="30" t="str">
        <f t="shared" si="3"/>
        <v/>
      </c>
      <c r="J98" s="31" t="s">
        <v>101</v>
      </c>
    </row>
    <row r="99" ht="15.75" customHeight="1">
      <c r="A99" s="1"/>
      <c r="B99" s="17" t="s">
        <v>210</v>
      </c>
      <c r="C99" s="17" t="s">
        <v>115</v>
      </c>
      <c r="D99" s="23">
        <v>4.1</v>
      </c>
      <c r="E99" s="24"/>
      <c r="F99" s="24"/>
      <c r="G99" s="24"/>
      <c r="H99" s="24"/>
      <c r="I99" s="24"/>
      <c r="J99" s="20" t="s">
        <v>101</v>
      </c>
    </row>
    <row r="100" ht="15.75" customHeight="1">
      <c r="A100" s="1"/>
      <c r="B100" s="17" t="s">
        <v>211</v>
      </c>
      <c r="C100" s="17" t="s">
        <v>191</v>
      </c>
      <c r="D100" s="21">
        <v>590.0</v>
      </c>
      <c r="E100" s="22"/>
      <c r="F100" s="22"/>
      <c r="G100" s="22"/>
      <c r="H100" s="22"/>
      <c r="I100" s="22"/>
      <c r="J100" s="20" t="s">
        <v>101</v>
      </c>
    </row>
    <row r="101" ht="15.75" customHeight="1">
      <c r="A101" s="1"/>
      <c r="B101" s="17" t="s">
        <v>212</v>
      </c>
      <c r="C101" s="17" t="s">
        <v>191</v>
      </c>
      <c r="D101" s="21">
        <v>290.0</v>
      </c>
      <c r="E101" s="22"/>
      <c r="F101" s="22"/>
      <c r="G101" s="22"/>
      <c r="H101" s="22"/>
      <c r="I101" s="22"/>
      <c r="J101" s="20" t="s">
        <v>101</v>
      </c>
    </row>
    <row r="102" ht="15.75" customHeight="1">
      <c r="A102" s="1"/>
      <c r="B102" s="17" t="s">
        <v>213</v>
      </c>
      <c r="C102" s="17" t="s">
        <v>191</v>
      </c>
      <c r="D102" s="21">
        <v>20.0</v>
      </c>
      <c r="E102" s="22"/>
      <c r="F102" s="22"/>
      <c r="G102" s="22"/>
      <c r="H102" s="22"/>
      <c r="I102" s="22"/>
      <c r="J102" s="20" t="s">
        <v>101</v>
      </c>
    </row>
    <row r="103" ht="15.75" customHeight="1">
      <c r="A103" s="1"/>
      <c r="B103" s="17" t="s">
        <v>214</v>
      </c>
      <c r="C103" s="17" t="s">
        <v>191</v>
      </c>
      <c r="D103" s="21">
        <v>15.0</v>
      </c>
      <c r="E103" s="22"/>
      <c r="F103" s="22"/>
      <c r="G103" s="22"/>
      <c r="H103" s="22"/>
      <c r="I103" s="22"/>
      <c r="J103" s="20" t="s">
        <v>101</v>
      </c>
    </row>
    <row r="104" ht="15.75" customHeight="1">
      <c r="B104" s="26" t="s">
        <v>215</v>
      </c>
      <c r="C104" s="26" t="s">
        <v>216</v>
      </c>
      <c r="D104" s="32">
        <v>295.0</v>
      </c>
      <c r="E104" s="33"/>
      <c r="F104" s="33"/>
      <c r="G104" s="33"/>
      <c r="H104" s="33"/>
      <c r="I104" s="33"/>
      <c r="J104" s="28"/>
    </row>
    <row r="105" ht="15.75" customHeight="1">
      <c r="B105" s="26" t="s">
        <v>217</v>
      </c>
      <c r="C105" s="26" t="s">
        <v>218</v>
      </c>
      <c r="D105" s="32">
        <v>48.0</v>
      </c>
      <c r="E105" s="33"/>
      <c r="F105" s="33"/>
      <c r="G105" s="33"/>
      <c r="H105" s="33"/>
      <c r="I105" s="33"/>
      <c r="J105" s="28"/>
    </row>
    <row r="106" ht="15.75" customHeight="1">
      <c r="A106" s="1"/>
      <c r="B106" s="14" t="s">
        <v>219</v>
      </c>
      <c r="C106" s="15"/>
      <c r="D106" s="15"/>
      <c r="E106" s="15"/>
      <c r="F106" s="15"/>
      <c r="G106" s="15"/>
      <c r="H106" s="15"/>
      <c r="I106" s="15"/>
      <c r="J106" s="16"/>
    </row>
    <row r="107" ht="15.75" customHeight="1">
      <c r="A107" s="1"/>
      <c r="B107" s="17" t="s">
        <v>220</v>
      </c>
      <c r="C107" s="17" t="s">
        <v>177</v>
      </c>
      <c r="D107" s="21">
        <v>10.3</v>
      </c>
      <c r="E107" s="22"/>
      <c r="F107" s="22"/>
      <c r="G107" s="22"/>
      <c r="H107" s="22"/>
      <c r="I107" s="22"/>
      <c r="J107" s="29"/>
    </row>
    <row r="108" ht="15.0" customHeight="1">
      <c r="A108" s="1"/>
      <c r="B108" s="17" t="s">
        <v>221</v>
      </c>
      <c r="C108" s="17" t="s">
        <v>124</v>
      </c>
      <c r="D108" s="23">
        <v>6.7</v>
      </c>
      <c r="E108" s="24"/>
      <c r="F108" s="24"/>
      <c r="G108" s="24"/>
      <c r="H108" s="24"/>
      <c r="I108" s="24"/>
      <c r="J108" s="20" t="s">
        <v>101</v>
      </c>
    </row>
    <row r="109" ht="15.75" customHeight="1">
      <c r="A109" s="1"/>
      <c r="B109" s="17" t="s">
        <v>222</v>
      </c>
      <c r="C109" s="17" t="s">
        <v>177</v>
      </c>
      <c r="D109" s="21">
        <v>545.0</v>
      </c>
      <c r="E109" s="22"/>
      <c r="F109" s="22"/>
      <c r="G109" s="22"/>
      <c r="H109" s="22"/>
      <c r="I109" s="22"/>
      <c r="J109" s="29"/>
    </row>
    <row r="110" ht="15.75" customHeight="1">
      <c r="A110" s="1"/>
      <c r="B110" s="17" t="s">
        <v>223</v>
      </c>
      <c r="C110" s="17" t="s">
        <v>186</v>
      </c>
      <c r="D110" s="21">
        <v>680.0</v>
      </c>
      <c r="E110" s="22"/>
      <c r="F110" s="22"/>
      <c r="G110" s="22"/>
      <c r="H110" s="22"/>
      <c r="I110" s="22"/>
      <c r="J110" s="29"/>
    </row>
    <row r="111" ht="15.75" customHeight="1">
      <c r="A111" s="1"/>
      <c r="B111" s="17" t="s">
        <v>224</v>
      </c>
      <c r="C111" s="17" t="s">
        <v>177</v>
      </c>
      <c r="D111" s="21">
        <v>510.0</v>
      </c>
      <c r="E111" s="22"/>
      <c r="F111" s="22"/>
      <c r="G111" s="22"/>
      <c r="H111" s="22"/>
      <c r="I111" s="22"/>
      <c r="J111" s="20" t="s">
        <v>101</v>
      </c>
    </row>
    <row r="112" ht="15.75" customHeight="1">
      <c r="A112" s="1"/>
      <c r="B112" s="17" t="s">
        <v>225</v>
      </c>
      <c r="C112" s="17" t="s">
        <v>186</v>
      </c>
      <c r="D112" s="21">
        <v>210.0</v>
      </c>
      <c r="E112" s="22"/>
      <c r="F112" s="22"/>
      <c r="G112" s="22"/>
      <c r="H112" s="22"/>
      <c r="I112" s="22"/>
      <c r="J112" s="29"/>
    </row>
    <row r="113" ht="15.75" customHeight="1">
      <c r="A113" s="1"/>
      <c r="B113" s="17" t="s">
        <v>226</v>
      </c>
      <c r="C113" s="17" t="s">
        <v>177</v>
      </c>
      <c r="D113" s="21">
        <v>1380.0</v>
      </c>
      <c r="E113" s="22"/>
      <c r="F113" s="22"/>
      <c r="G113" s="22"/>
      <c r="H113" s="22"/>
      <c r="I113" s="22"/>
      <c r="J113" s="20" t="s">
        <v>101</v>
      </c>
    </row>
    <row r="114" ht="15.75" customHeight="1">
      <c r="A114" s="1"/>
      <c r="B114" s="17" t="s">
        <v>227</v>
      </c>
      <c r="C114" s="17" t="s">
        <v>177</v>
      </c>
      <c r="D114" s="21">
        <v>30.2</v>
      </c>
      <c r="E114" s="22"/>
      <c r="F114" s="22"/>
      <c r="G114" s="22"/>
      <c r="H114" s="22"/>
      <c r="I114" s="22"/>
      <c r="J114" s="29"/>
    </row>
    <row r="115" ht="15.0" customHeight="1">
      <c r="A115" s="1"/>
      <c r="B115" s="17" t="s">
        <v>228</v>
      </c>
      <c r="C115" s="17" t="s">
        <v>124</v>
      </c>
      <c r="D115" s="23">
        <v>2.85</v>
      </c>
      <c r="E115" s="24"/>
      <c r="F115" s="24"/>
      <c r="G115" s="24"/>
      <c r="H115" s="24"/>
      <c r="I115" s="24"/>
      <c r="J115" s="25"/>
    </row>
    <row r="116" ht="15.75" customHeight="1">
      <c r="A116" s="1"/>
      <c r="B116" s="14" t="s">
        <v>229</v>
      </c>
      <c r="C116" s="15"/>
      <c r="D116" s="15"/>
      <c r="E116" s="15"/>
      <c r="F116" s="15"/>
      <c r="G116" s="15"/>
      <c r="H116" s="15"/>
      <c r="I116" s="15"/>
      <c r="J116" s="16"/>
    </row>
    <row r="117" ht="15.75" customHeight="1">
      <c r="A117" s="1"/>
      <c r="B117" s="17" t="s">
        <v>230</v>
      </c>
      <c r="C117" s="17" t="s">
        <v>177</v>
      </c>
      <c r="D117" s="21">
        <v>8.5</v>
      </c>
      <c r="E117" s="22"/>
      <c r="F117" s="22"/>
      <c r="G117" s="22"/>
      <c r="H117" s="22"/>
      <c r="I117" s="22"/>
      <c r="J117" s="29"/>
    </row>
    <row r="118" ht="15.75" customHeight="1">
      <c r="A118" s="1"/>
      <c r="B118" s="17" t="s">
        <v>231</v>
      </c>
      <c r="C118" s="17" t="s">
        <v>177</v>
      </c>
      <c r="D118" s="21">
        <v>6.2</v>
      </c>
      <c r="E118" s="22"/>
      <c r="F118" s="22"/>
      <c r="G118" s="22"/>
      <c r="H118" s="22"/>
      <c r="I118" s="22"/>
      <c r="J118" s="29"/>
    </row>
    <row r="119" ht="15.75" customHeight="1">
      <c r="A119" s="1"/>
      <c r="B119" s="17" t="s">
        <v>232</v>
      </c>
      <c r="C119" s="17" t="s">
        <v>177</v>
      </c>
      <c r="D119" s="21">
        <v>165.0</v>
      </c>
      <c r="E119" s="22"/>
      <c r="F119" s="22"/>
      <c r="G119" s="22"/>
      <c r="H119" s="22"/>
      <c r="I119" s="22"/>
      <c r="J119" s="29"/>
    </row>
    <row r="120" ht="15.75" customHeight="1">
      <c r="A120" s="1"/>
      <c r="B120" s="17" t="s">
        <v>233</v>
      </c>
      <c r="C120" s="17" t="s">
        <v>177</v>
      </c>
      <c r="D120" s="21">
        <v>98.0</v>
      </c>
      <c r="E120" s="22"/>
      <c r="F120" s="22"/>
      <c r="G120" s="22"/>
      <c r="H120" s="22"/>
      <c r="I120" s="22"/>
      <c r="J120" s="29"/>
    </row>
    <row r="121" ht="15.75" customHeight="1">
      <c r="A121" s="1"/>
      <c r="B121" s="17" t="s">
        <v>234</v>
      </c>
      <c r="C121" s="17" t="s">
        <v>177</v>
      </c>
      <c r="D121" s="21">
        <v>320.0</v>
      </c>
      <c r="E121" s="22"/>
      <c r="F121" s="22"/>
      <c r="G121" s="22"/>
      <c r="H121" s="22"/>
      <c r="I121" s="22"/>
      <c r="J121" s="29"/>
    </row>
    <row r="122" ht="15.75" customHeight="1">
      <c r="A122" s="1"/>
      <c r="B122" s="17" t="s">
        <v>235</v>
      </c>
      <c r="C122" s="17" t="s">
        <v>236</v>
      </c>
      <c r="D122" s="37">
        <v>9.5</v>
      </c>
      <c r="E122" s="38"/>
      <c r="F122" s="38"/>
      <c r="G122" s="38"/>
      <c r="H122" s="38"/>
      <c r="I122" s="38"/>
      <c r="J122" s="39"/>
    </row>
    <row r="123" ht="15.75" customHeight="1">
      <c r="A123" s="1"/>
      <c r="B123" s="14" t="s">
        <v>237</v>
      </c>
      <c r="C123" s="15"/>
      <c r="D123" s="15"/>
      <c r="E123" s="15"/>
      <c r="F123" s="15"/>
      <c r="G123" s="15"/>
      <c r="H123" s="15"/>
      <c r="I123" s="15"/>
      <c r="J123" s="16"/>
    </row>
    <row r="124" ht="15.75" customHeight="1">
      <c r="A124" s="1"/>
      <c r="B124" s="17" t="s">
        <v>238</v>
      </c>
      <c r="C124" s="17" t="s">
        <v>128</v>
      </c>
      <c r="D124" s="23">
        <v>650.0</v>
      </c>
      <c r="E124" s="24"/>
      <c r="F124" s="24"/>
      <c r="G124" s="24"/>
      <c r="H124" s="24"/>
      <c r="I124" s="24"/>
      <c r="J124" s="25"/>
    </row>
    <row r="125" ht="15.75" customHeight="1">
      <c r="A125" s="1"/>
      <c r="B125" s="17" t="s">
        <v>239</v>
      </c>
      <c r="C125" s="17" t="s">
        <v>128</v>
      </c>
      <c r="D125" s="23">
        <v>180.0</v>
      </c>
      <c r="E125" s="24"/>
      <c r="F125" s="24"/>
      <c r="G125" s="24"/>
      <c r="H125" s="24"/>
      <c r="I125" s="24"/>
      <c r="J125" s="25"/>
    </row>
    <row r="126" ht="15.75" customHeight="1">
      <c r="A126" s="1"/>
      <c r="B126" s="17" t="s">
        <v>240</v>
      </c>
      <c r="C126" s="17" t="s">
        <v>128</v>
      </c>
      <c r="D126" s="23">
        <v>75.0</v>
      </c>
      <c r="E126" s="24"/>
      <c r="F126" s="24"/>
      <c r="G126" s="24"/>
      <c r="H126" s="24"/>
      <c r="I126" s="24"/>
      <c r="J126" s="25"/>
    </row>
    <row r="127" ht="15.0" customHeight="1">
      <c r="A127" s="1"/>
      <c r="B127" s="17" t="s">
        <v>241</v>
      </c>
      <c r="C127" s="17" t="s">
        <v>128</v>
      </c>
      <c r="D127" s="23">
        <v>240.0</v>
      </c>
      <c r="E127" s="24"/>
      <c r="F127" s="24"/>
      <c r="G127" s="24"/>
      <c r="H127" s="24"/>
      <c r="I127" s="24"/>
      <c r="J127" s="25"/>
    </row>
    <row r="128" ht="15.75" customHeight="1">
      <c r="A128" s="1"/>
      <c r="B128" s="17" t="s">
        <v>242</v>
      </c>
      <c r="C128" s="17" t="s">
        <v>128</v>
      </c>
      <c r="D128" s="23">
        <v>95.0</v>
      </c>
      <c r="E128" s="24"/>
      <c r="F128" s="24"/>
      <c r="G128" s="24"/>
      <c r="H128" s="24"/>
      <c r="I128" s="24"/>
      <c r="J128" s="25"/>
    </row>
    <row r="129" ht="15.75" customHeight="1">
      <c r="A129" s="1"/>
      <c r="B129" s="17" t="s">
        <v>243</v>
      </c>
      <c r="C129" s="17" t="s">
        <v>128</v>
      </c>
      <c r="D129" s="23">
        <v>155.0</v>
      </c>
      <c r="E129" s="24"/>
      <c r="F129" s="24"/>
      <c r="G129" s="24"/>
      <c r="H129" s="24"/>
      <c r="I129" s="24"/>
      <c r="J129" s="25"/>
    </row>
    <row r="130" ht="15.75" customHeight="1">
      <c r="A130" s="1"/>
      <c r="B130" s="17" t="s">
        <v>244</v>
      </c>
      <c r="C130" s="17" t="s">
        <v>128</v>
      </c>
      <c r="D130" s="23">
        <v>320.0</v>
      </c>
      <c r="E130" s="24"/>
      <c r="F130" s="24"/>
      <c r="G130" s="24"/>
      <c r="H130" s="24"/>
      <c r="I130" s="24"/>
      <c r="J130" s="25"/>
    </row>
    <row r="131" ht="15.75" customHeight="1">
      <c r="A131" s="1"/>
      <c r="B131" s="17" t="s">
        <v>245</v>
      </c>
      <c r="C131" s="17" t="s">
        <v>128</v>
      </c>
      <c r="D131" s="23">
        <v>390.0</v>
      </c>
      <c r="E131" s="24"/>
      <c r="F131" s="24"/>
      <c r="G131" s="24"/>
      <c r="H131" s="24"/>
      <c r="I131" s="24"/>
      <c r="J131" s="25"/>
    </row>
    <row r="132" ht="15.75" customHeight="1">
      <c r="A132" s="1"/>
      <c r="B132" s="17" t="s">
        <v>246</v>
      </c>
      <c r="C132" s="17" t="s">
        <v>128</v>
      </c>
      <c r="D132" s="23">
        <v>220.0</v>
      </c>
      <c r="E132" s="24"/>
      <c r="F132" s="24"/>
      <c r="G132" s="24"/>
      <c r="H132" s="24"/>
      <c r="I132" s="24"/>
      <c r="J132" s="25"/>
    </row>
    <row r="133" ht="15.75" customHeight="1">
      <c r="A133" s="1"/>
      <c r="B133" s="17" t="s">
        <v>247</v>
      </c>
      <c r="C133" s="17" t="s">
        <v>128</v>
      </c>
      <c r="D133" s="23">
        <v>170.0</v>
      </c>
      <c r="E133" s="24"/>
      <c r="F133" s="24"/>
      <c r="G133" s="24"/>
      <c r="H133" s="24"/>
      <c r="I133" s="24"/>
      <c r="J133" s="25"/>
    </row>
    <row r="134" ht="15.75" customHeight="1">
      <c r="A134" s="1"/>
      <c r="B134" s="17" t="s">
        <v>248</v>
      </c>
      <c r="C134" s="17" t="s">
        <v>128</v>
      </c>
      <c r="D134" s="23">
        <v>28.0</v>
      </c>
      <c r="E134" s="24"/>
      <c r="F134" s="24"/>
      <c r="G134" s="24"/>
      <c r="H134" s="24"/>
      <c r="I134" s="24"/>
      <c r="J134" s="25"/>
    </row>
    <row r="135" ht="15.0" customHeight="1">
      <c r="A135" s="1"/>
      <c r="B135" s="14" t="s">
        <v>249</v>
      </c>
      <c r="C135" s="15"/>
      <c r="D135" s="15"/>
      <c r="E135" s="15"/>
      <c r="F135" s="15"/>
      <c r="G135" s="15"/>
      <c r="H135" s="15"/>
      <c r="I135" s="15"/>
      <c r="J135" s="16"/>
    </row>
    <row r="136" ht="15.75" customHeight="1">
      <c r="A136" s="1"/>
      <c r="B136" s="17" t="s">
        <v>250</v>
      </c>
      <c r="C136" s="17" t="s">
        <v>115</v>
      </c>
      <c r="D136" s="23">
        <v>10.5</v>
      </c>
      <c r="E136" s="24"/>
      <c r="F136" s="24"/>
      <c r="G136" s="24"/>
      <c r="H136" s="24"/>
      <c r="I136" s="24"/>
      <c r="J136" s="25"/>
    </row>
    <row r="137" ht="15.75" customHeight="1">
      <c r="A137" s="1"/>
      <c r="B137" s="17" t="s">
        <v>251</v>
      </c>
      <c r="C137" s="17" t="s">
        <v>115</v>
      </c>
      <c r="D137" s="23">
        <v>16.2</v>
      </c>
      <c r="E137" s="24"/>
      <c r="F137" s="24"/>
      <c r="G137" s="24"/>
      <c r="H137" s="24"/>
      <c r="I137" s="24"/>
      <c r="J137" s="25"/>
    </row>
    <row r="138" ht="15.75" customHeight="1">
      <c r="A138" s="1"/>
      <c r="B138" s="17" t="s">
        <v>252</v>
      </c>
      <c r="C138" s="17" t="s">
        <v>177</v>
      </c>
      <c r="D138" s="21">
        <v>2.4</v>
      </c>
      <c r="E138" s="22"/>
      <c r="F138" s="22"/>
      <c r="G138" s="22"/>
      <c r="H138" s="22"/>
      <c r="I138" s="22"/>
      <c r="J138" s="29"/>
    </row>
    <row r="139" ht="15.75" customHeight="1">
      <c r="A139" s="1"/>
      <c r="B139" s="17" t="s">
        <v>253</v>
      </c>
      <c r="C139" s="17" t="s">
        <v>177</v>
      </c>
      <c r="D139" s="21">
        <v>85.0</v>
      </c>
      <c r="E139" s="22"/>
      <c r="F139" s="22"/>
      <c r="G139" s="22"/>
      <c r="H139" s="22"/>
      <c r="I139" s="22"/>
      <c r="J139" s="29"/>
    </row>
    <row r="140" ht="15.75" customHeight="1">
      <c r="A140" s="1"/>
      <c r="B140" s="17" t="s">
        <v>254</v>
      </c>
      <c r="C140" s="17" t="s">
        <v>124</v>
      </c>
      <c r="D140" s="23">
        <v>45.0</v>
      </c>
      <c r="E140" s="24"/>
      <c r="F140" s="24"/>
      <c r="G140" s="24"/>
      <c r="H140" s="24"/>
      <c r="I140" s="24"/>
      <c r="J140" s="25"/>
    </row>
    <row r="141" ht="15.75" customHeight="1">
      <c r="A141" s="1"/>
      <c r="B141" s="17" t="s">
        <v>255</v>
      </c>
      <c r="C141" s="17" t="s">
        <v>148</v>
      </c>
      <c r="D141" s="23">
        <v>2600.0</v>
      </c>
      <c r="E141" s="24"/>
      <c r="F141" s="24"/>
      <c r="G141" s="24"/>
      <c r="H141" s="24"/>
      <c r="I141" s="24"/>
      <c r="J141" s="25"/>
    </row>
    <row r="142" ht="15.0" customHeight="1">
      <c r="A142" s="1"/>
      <c r="B142" s="17" t="s">
        <v>256</v>
      </c>
      <c r="C142" s="17" t="s">
        <v>257</v>
      </c>
      <c r="D142" s="23">
        <v>2600.0</v>
      </c>
      <c r="E142" s="24"/>
      <c r="F142" s="24"/>
      <c r="G142" s="24"/>
      <c r="H142" s="24"/>
      <c r="I142" s="24"/>
      <c r="J142" s="25"/>
    </row>
    <row r="143" ht="15.75" customHeight="1">
      <c r="A143" s="1"/>
      <c r="B143" s="14" t="s">
        <v>258</v>
      </c>
      <c r="C143" s="15"/>
      <c r="D143" s="15"/>
      <c r="E143" s="15"/>
      <c r="F143" s="15"/>
      <c r="G143" s="15"/>
      <c r="H143" s="15"/>
      <c r="I143" s="15"/>
      <c r="J143" s="16"/>
    </row>
    <row r="144" ht="15.75" customHeight="1">
      <c r="A144" s="1"/>
      <c r="B144" s="17" t="s">
        <v>259</v>
      </c>
      <c r="C144" s="17" t="s">
        <v>260</v>
      </c>
      <c r="D144" s="23">
        <v>580.0</v>
      </c>
      <c r="E144" s="24"/>
      <c r="F144" s="24"/>
      <c r="G144" s="24"/>
      <c r="H144" s="24"/>
      <c r="I144" s="24"/>
      <c r="J144" s="20" t="s">
        <v>101</v>
      </c>
    </row>
    <row r="145" ht="15.75" customHeight="1">
      <c r="A145" s="1"/>
      <c r="B145" s="17" t="s">
        <v>261</v>
      </c>
      <c r="C145" s="17" t="s">
        <v>260</v>
      </c>
      <c r="D145" s="23">
        <v>18.5</v>
      </c>
      <c r="E145" s="24"/>
      <c r="F145" s="24"/>
      <c r="G145" s="24"/>
      <c r="H145" s="24"/>
      <c r="I145" s="24"/>
      <c r="J145" s="25"/>
    </row>
    <row r="146" ht="15.75" customHeight="1">
      <c r="A146" s="1"/>
      <c r="B146" s="17" t="s">
        <v>262</v>
      </c>
      <c r="C146" s="17" t="s">
        <v>177</v>
      </c>
      <c r="D146" s="21">
        <v>180.0</v>
      </c>
      <c r="E146" s="22"/>
      <c r="F146" s="22"/>
      <c r="G146" s="22"/>
      <c r="H146" s="22"/>
      <c r="I146" s="22"/>
      <c r="J146" s="20" t="s">
        <v>101</v>
      </c>
    </row>
    <row r="147" ht="15.75" customHeight="1">
      <c r="A147" s="1"/>
      <c r="B147" s="17" t="s">
        <v>263</v>
      </c>
      <c r="C147" s="17" t="s">
        <v>124</v>
      </c>
      <c r="D147" s="23">
        <v>5.2</v>
      </c>
      <c r="E147" s="24"/>
      <c r="F147" s="24"/>
      <c r="G147" s="24"/>
      <c r="H147" s="24"/>
      <c r="I147" s="24"/>
      <c r="J147" s="20" t="s">
        <v>101</v>
      </c>
    </row>
    <row r="148" ht="15.75" customHeight="1">
      <c r="A148" s="1"/>
      <c r="B148" s="17" t="s">
        <v>264</v>
      </c>
      <c r="C148" s="17" t="s">
        <v>260</v>
      </c>
      <c r="D148" s="23">
        <v>9.8</v>
      </c>
      <c r="E148" s="24"/>
      <c r="F148" s="24"/>
      <c r="G148" s="24"/>
      <c r="H148" s="24"/>
      <c r="I148" s="24"/>
      <c r="J148" s="25"/>
    </row>
    <row r="149" ht="15.75" customHeight="1">
      <c r="A149" s="1"/>
      <c r="B149" s="40" t="s">
        <v>63</v>
      </c>
      <c r="C149" s="40" t="s">
        <v>193</v>
      </c>
      <c r="D149" s="41">
        <f>D148/D144*100</f>
        <v>1.689655172</v>
      </c>
      <c r="E149" s="41" t="str">
        <f t="shared" ref="E149:I149" si="4">IFERROR(E148/E144*100,"")</f>
        <v/>
      </c>
      <c r="F149" s="41" t="str">
        <f t="shared" si="4"/>
        <v/>
      </c>
      <c r="G149" s="41" t="str">
        <f t="shared" si="4"/>
        <v/>
      </c>
      <c r="H149" s="41" t="str">
        <f t="shared" si="4"/>
        <v/>
      </c>
      <c r="I149" s="41" t="str">
        <f t="shared" si="4"/>
        <v/>
      </c>
      <c r="J149" s="20" t="s">
        <v>101</v>
      </c>
    </row>
    <row r="150" ht="15.75" customHeight="1">
      <c r="A150" s="1"/>
      <c r="B150" s="14" t="s">
        <v>265</v>
      </c>
      <c r="C150" s="15"/>
      <c r="D150" s="15"/>
      <c r="E150" s="15"/>
      <c r="F150" s="15"/>
      <c r="G150" s="15"/>
      <c r="H150" s="15"/>
      <c r="I150" s="15"/>
      <c r="J150" s="16"/>
    </row>
    <row r="151" ht="15.75" customHeight="1">
      <c r="A151" s="1"/>
      <c r="B151" s="17" t="s">
        <v>266</v>
      </c>
      <c r="C151" s="17" t="s">
        <v>124</v>
      </c>
      <c r="D151" s="23">
        <v>9.2</v>
      </c>
      <c r="E151" s="24"/>
      <c r="F151" s="24"/>
      <c r="G151" s="24"/>
      <c r="H151" s="24"/>
      <c r="I151" s="24"/>
      <c r="J151" s="25"/>
    </row>
    <row r="152" ht="15.75" customHeight="1">
      <c r="A152" s="1"/>
      <c r="B152" s="40" t="s">
        <v>267</v>
      </c>
      <c r="C152" s="40" t="s">
        <v>193</v>
      </c>
      <c r="D152" s="41">
        <f>D151/D24*100</f>
        <v>100</v>
      </c>
      <c r="E152" s="41" t="str">
        <f t="shared" ref="E152:I152" si="5">IFERROR(E151/E24*100,"")</f>
        <v/>
      </c>
      <c r="F152" s="41" t="str">
        <f t="shared" si="5"/>
        <v/>
      </c>
      <c r="G152" s="41" t="str">
        <f t="shared" si="5"/>
        <v/>
      </c>
      <c r="H152" s="41" t="str">
        <f t="shared" si="5"/>
        <v/>
      </c>
      <c r="I152" s="41" t="str">
        <f t="shared" si="5"/>
        <v/>
      </c>
      <c r="J152" s="20" t="s">
        <v>101</v>
      </c>
    </row>
    <row r="153" ht="15.75" customHeight="1">
      <c r="A153" s="1"/>
      <c r="B153" s="17" t="s">
        <v>268</v>
      </c>
      <c r="C153" s="17" t="s">
        <v>124</v>
      </c>
      <c r="D153" s="23">
        <v>8.4</v>
      </c>
      <c r="E153" s="24"/>
      <c r="F153" s="24"/>
      <c r="G153" s="24"/>
      <c r="H153" s="24"/>
      <c r="I153" s="24"/>
      <c r="J153" s="25"/>
    </row>
    <row r="154" ht="15.0" customHeight="1">
      <c r="A154" s="1"/>
      <c r="B154" s="40" t="s">
        <v>269</v>
      </c>
      <c r="C154" s="40" t="s">
        <v>193</v>
      </c>
      <c r="D154" s="41">
        <f>D153/D24*100</f>
        <v>91.30434783</v>
      </c>
      <c r="E154" s="41" t="str">
        <f t="shared" ref="E154:I154" si="6">IFERROR(E153/E24*100,"")</f>
        <v/>
      </c>
      <c r="F154" s="41" t="str">
        <f t="shared" si="6"/>
        <v/>
      </c>
      <c r="G154" s="41" t="str">
        <f t="shared" si="6"/>
        <v/>
      </c>
      <c r="H154" s="41" t="str">
        <f t="shared" si="6"/>
        <v/>
      </c>
      <c r="I154" s="41" t="str">
        <f t="shared" si="6"/>
        <v/>
      </c>
      <c r="J154" s="20" t="s">
        <v>101</v>
      </c>
    </row>
    <row r="155" ht="15.75" customHeight="1">
      <c r="A155" s="1"/>
      <c r="B155" s="17" t="s">
        <v>270</v>
      </c>
      <c r="C155" s="17" t="s">
        <v>124</v>
      </c>
      <c r="D155" s="23">
        <v>4.8</v>
      </c>
      <c r="E155" s="24"/>
      <c r="F155" s="24"/>
      <c r="G155" s="24"/>
      <c r="H155" s="24"/>
      <c r="I155" s="24"/>
      <c r="J155" s="25"/>
    </row>
    <row r="156" ht="15.75" customHeight="1">
      <c r="A156" s="1"/>
      <c r="B156" s="40" t="s">
        <v>271</v>
      </c>
      <c r="C156" s="40" t="s">
        <v>193</v>
      </c>
      <c r="D156" s="41">
        <f>D155/D24*100</f>
        <v>52.17391304</v>
      </c>
      <c r="E156" s="41" t="str">
        <f t="shared" ref="E156:I156" si="7">IFERROR(E155/E24*100,"")</f>
        <v/>
      </c>
      <c r="F156" s="41" t="str">
        <f t="shared" si="7"/>
        <v/>
      </c>
      <c r="G156" s="41" t="str">
        <f t="shared" si="7"/>
        <v/>
      </c>
      <c r="H156" s="41" t="str">
        <f t="shared" si="7"/>
        <v/>
      </c>
      <c r="I156" s="41" t="str">
        <f t="shared" si="7"/>
        <v/>
      </c>
      <c r="J156" s="20" t="s">
        <v>101</v>
      </c>
    </row>
    <row r="157" ht="15.75" customHeight="1">
      <c r="A157" s="1"/>
      <c r="B157" s="17" t="s">
        <v>272</v>
      </c>
      <c r="C157" s="17" t="s">
        <v>124</v>
      </c>
      <c r="D157" s="23">
        <v>8.1</v>
      </c>
      <c r="E157" s="24"/>
      <c r="F157" s="24"/>
      <c r="G157" s="24"/>
      <c r="H157" s="24"/>
      <c r="I157" s="24"/>
      <c r="J157" s="25"/>
    </row>
    <row r="158" ht="15.75" customHeight="1">
      <c r="A158" s="1"/>
      <c r="B158" s="40" t="s">
        <v>273</v>
      </c>
      <c r="C158" s="40" t="s">
        <v>193</v>
      </c>
      <c r="D158" s="41">
        <f>D157/D24*100</f>
        <v>88.04347826</v>
      </c>
      <c r="E158" s="41" t="str">
        <f t="shared" ref="E158:I158" si="8">IFERROR(E157/E24*100,"")</f>
        <v/>
      </c>
      <c r="F158" s="41" t="str">
        <f t="shared" si="8"/>
        <v/>
      </c>
      <c r="G158" s="41" t="str">
        <f t="shared" si="8"/>
        <v/>
      </c>
      <c r="H158" s="41" t="str">
        <f t="shared" si="8"/>
        <v/>
      </c>
      <c r="I158" s="41" t="str">
        <f t="shared" si="8"/>
        <v/>
      </c>
      <c r="J158" s="20" t="s">
        <v>101</v>
      </c>
    </row>
    <row r="159" ht="15.75" customHeight="1">
      <c r="A159" s="1"/>
      <c r="B159" s="17" t="s">
        <v>274</v>
      </c>
      <c r="C159" s="17" t="s">
        <v>177</v>
      </c>
      <c r="D159" s="21">
        <v>78.0</v>
      </c>
      <c r="E159" s="22"/>
      <c r="F159" s="22"/>
      <c r="G159" s="22"/>
      <c r="H159" s="22"/>
      <c r="I159" s="22"/>
      <c r="J159" s="29"/>
    </row>
    <row r="160" ht="15.75" customHeight="1">
      <c r="A160" s="1"/>
      <c r="B160" s="17" t="s">
        <v>275</v>
      </c>
      <c r="C160" s="17" t="s">
        <v>177</v>
      </c>
      <c r="D160" s="21">
        <v>4.2</v>
      </c>
      <c r="E160" s="22"/>
      <c r="F160" s="22"/>
      <c r="G160" s="22"/>
      <c r="H160" s="22"/>
      <c r="I160" s="22"/>
      <c r="J160" s="29"/>
    </row>
    <row r="161" ht="15.75" customHeight="1">
      <c r="A161" s="1"/>
      <c r="B161" s="17" t="s">
        <v>276</v>
      </c>
      <c r="C161" s="17" t="s">
        <v>186</v>
      </c>
      <c r="D161" s="21">
        <v>580.0</v>
      </c>
      <c r="E161" s="22"/>
      <c r="F161" s="22"/>
      <c r="G161" s="22"/>
      <c r="H161" s="22"/>
      <c r="I161" s="22"/>
      <c r="J161" s="29"/>
    </row>
    <row r="162" ht="15.75" customHeight="1">
      <c r="A162" s="1"/>
      <c r="B162" s="14" t="s">
        <v>277</v>
      </c>
      <c r="C162" s="15"/>
      <c r="D162" s="15"/>
      <c r="E162" s="15"/>
      <c r="F162" s="15"/>
      <c r="G162" s="15"/>
      <c r="H162" s="15"/>
      <c r="I162" s="15"/>
      <c r="J162" s="16"/>
    </row>
    <row r="163" ht="15.75" customHeight="1">
      <c r="A163" s="1"/>
      <c r="B163" s="17" t="s">
        <v>278</v>
      </c>
      <c r="C163" s="17" t="s">
        <v>279</v>
      </c>
      <c r="D163" s="21">
        <v>184.0</v>
      </c>
      <c r="E163" s="22"/>
      <c r="F163" s="22"/>
      <c r="G163" s="22"/>
      <c r="H163" s="22"/>
      <c r="I163" s="22"/>
      <c r="J163" s="20" t="s">
        <v>101</v>
      </c>
    </row>
    <row r="164" ht="15.0" customHeight="1">
      <c r="A164" s="1"/>
      <c r="B164" s="17" t="s">
        <v>280</v>
      </c>
      <c r="C164" s="17" t="s">
        <v>279</v>
      </c>
      <c r="D164" s="21">
        <v>142.0</v>
      </c>
      <c r="E164" s="22"/>
      <c r="F164" s="22"/>
      <c r="G164" s="22"/>
      <c r="H164" s="22"/>
      <c r="I164" s="22"/>
      <c r="J164" s="29"/>
    </row>
    <row r="165" ht="15.75" customHeight="1">
      <c r="A165" s="1"/>
      <c r="B165" s="40" t="s">
        <v>69</v>
      </c>
      <c r="C165" s="40" t="s">
        <v>193</v>
      </c>
      <c r="D165" s="41">
        <f>D164/D163*100</f>
        <v>77.17391304</v>
      </c>
      <c r="E165" s="41" t="str">
        <f t="shared" ref="E165:I165" si="9">IFERROR(E164/E163*100,"")</f>
        <v/>
      </c>
      <c r="F165" s="41" t="str">
        <f t="shared" si="9"/>
        <v/>
      </c>
      <c r="G165" s="41" t="str">
        <f t="shared" si="9"/>
        <v/>
      </c>
      <c r="H165" s="41" t="str">
        <f t="shared" si="9"/>
        <v/>
      </c>
      <c r="I165" s="41" t="str">
        <f t="shared" si="9"/>
        <v/>
      </c>
      <c r="J165" s="20" t="s">
        <v>101</v>
      </c>
    </row>
    <row r="166" ht="15.75" customHeight="1">
      <c r="A166" s="1"/>
      <c r="B166" s="17" t="s">
        <v>281</v>
      </c>
      <c r="C166" s="17" t="s">
        <v>279</v>
      </c>
      <c r="D166" s="21">
        <v>32.0</v>
      </c>
      <c r="E166" s="22"/>
      <c r="F166" s="22"/>
      <c r="G166" s="22"/>
      <c r="H166" s="22"/>
      <c r="I166" s="22"/>
      <c r="J166" s="20" t="s">
        <v>101</v>
      </c>
    </row>
    <row r="167" ht="15.75" customHeight="1">
      <c r="A167" s="1"/>
      <c r="B167" s="17" t="s">
        <v>282</v>
      </c>
      <c r="C167" s="17" t="s">
        <v>279</v>
      </c>
      <c r="D167" s="21">
        <v>10.0</v>
      </c>
      <c r="E167" s="22"/>
      <c r="F167" s="22"/>
      <c r="G167" s="22"/>
      <c r="H167" s="22"/>
      <c r="I167" s="22"/>
      <c r="J167" s="20" t="s">
        <v>101</v>
      </c>
    </row>
    <row r="168" ht="15.75" customHeight="1">
      <c r="A168" s="1"/>
      <c r="B168" s="17" t="s">
        <v>283</v>
      </c>
      <c r="C168" s="17" t="s">
        <v>279</v>
      </c>
      <c r="D168" s="21">
        <v>110.0</v>
      </c>
      <c r="E168" s="22"/>
      <c r="F168" s="22"/>
      <c r="G168" s="22"/>
      <c r="H168" s="22"/>
      <c r="I168" s="22"/>
      <c r="J168" s="29"/>
    </row>
    <row r="169" ht="15.75" customHeight="1">
      <c r="A169" s="1"/>
      <c r="B169" s="40" t="s">
        <v>67</v>
      </c>
      <c r="C169" s="40" t="s">
        <v>193</v>
      </c>
      <c r="D169" s="41">
        <f>D168/D163*100</f>
        <v>59.7826087</v>
      </c>
      <c r="E169" s="41" t="str">
        <f t="shared" ref="E169:I169" si="10">IFERROR(E168/E163*100,"")</f>
        <v/>
      </c>
      <c r="F169" s="41" t="str">
        <f t="shared" si="10"/>
        <v/>
      </c>
      <c r="G169" s="41" t="str">
        <f t="shared" si="10"/>
        <v/>
      </c>
      <c r="H169" s="41" t="str">
        <f t="shared" si="10"/>
        <v/>
      </c>
      <c r="I169" s="41" t="str">
        <f t="shared" si="10"/>
        <v/>
      </c>
      <c r="J169" s="20" t="s">
        <v>101</v>
      </c>
    </row>
    <row r="170" ht="15.75" customHeight="1">
      <c r="A170" s="1"/>
      <c r="B170" s="17" t="s">
        <v>284</v>
      </c>
      <c r="C170" s="17" t="s">
        <v>279</v>
      </c>
      <c r="D170" s="21">
        <v>52.0</v>
      </c>
      <c r="E170" s="22"/>
      <c r="F170" s="22"/>
      <c r="G170" s="22"/>
      <c r="H170" s="22"/>
      <c r="I170" s="22"/>
      <c r="J170" s="20" t="s">
        <v>101</v>
      </c>
    </row>
    <row r="171" ht="15.75" customHeight="1">
      <c r="A171" s="1"/>
      <c r="B171" s="17" t="s">
        <v>285</v>
      </c>
      <c r="C171" s="17" t="s">
        <v>279</v>
      </c>
      <c r="D171" s="21">
        <v>22.0</v>
      </c>
      <c r="E171" s="22"/>
      <c r="F171" s="22"/>
      <c r="G171" s="22"/>
      <c r="H171" s="22"/>
      <c r="I171" s="22"/>
      <c r="J171" s="20" t="s">
        <v>101</v>
      </c>
    </row>
    <row r="172" ht="15.75" customHeight="1">
      <c r="A172" s="1"/>
      <c r="B172" s="14" t="s">
        <v>286</v>
      </c>
      <c r="C172" s="15"/>
      <c r="D172" s="15"/>
      <c r="E172" s="15"/>
      <c r="F172" s="15"/>
      <c r="G172" s="15"/>
      <c r="H172" s="15"/>
      <c r="I172" s="15"/>
      <c r="J172" s="16"/>
    </row>
    <row r="173" ht="15.75" customHeight="1">
      <c r="A173" s="1"/>
      <c r="B173" s="17" t="s">
        <v>287</v>
      </c>
      <c r="C173" s="17" t="s">
        <v>288</v>
      </c>
      <c r="D173" s="21">
        <v>3.2</v>
      </c>
      <c r="E173" s="22"/>
      <c r="F173" s="22"/>
      <c r="G173" s="22"/>
      <c r="H173" s="22"/>
      <c r="I173" s="22"/>
      <c r="J173" s="29"/>
    </row>
    <row r="174" ht="15.75" customHeight="1">
      <c r="A174" s="1"/>
      <c r="B174" s="17" t="s">
        <v>289</v>
      </c>
      <c r="C174" s="17" t="s">
        <v>177</v>
      </c>
      <c r="D174" s="21">
        <v>580.0</v>
      </c>
      <c r="E174" s="22"/>
      <c r="F174" s="22"/>
      <c r="G174" s="22"/>
      <c r="H174" s="22"/>
      <c r="I174" s="22"/>
      <c r="J174" s="29"/>
    </row>
    <row r="175" ht="15.75" customHeight="1">
      <c r="A175" s="1"/>
      <c r="B175" s="17" t="s">
        <v>290</v>
      </c>
      <c r="C175" s="17" t="s">
        <v>177</v>
      </c>
      <c r="D175" s="21">
        <v>1850.0</v>
      </c>
      <c r="E175" s="22"/>
      <c r="F175" s="22"/>
      <c r="G175" s="22"/>
      <c r="H175" s="22"/>
      <c r="I175" s="22"/>
      <c r="J175" s="29"/>
    </row>
    <row r="176" ht="15.75" customHeight="1">
      <c r="A176" s="1"/>
      <c r="B176" s="17" t="s">
        <v>291</v>
      </c>
      <c r="C176" s="17" t="s">
        <v>193</v>
      </c>
      <c r="D176" s="37">
        <v>94.0</v>
      </c>
      <c r="E176" s="38"/>
      <c r="F176" s="38"/>
      <c r="G176" s="38"/>
      <c r="H176" s="38"/>
      <c r="I176" s="38"/>
      <c r="J176" s="39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7:J7"/>
    <mergeCell ref="B25:J25"/>
    <mergeCell ref="B33:J33"/>
    <mergeCell ref="B44:J44"/>
    <mergeCell ref="B49:J49"/>
    <mergeCell ref="B62:J62"/>
    <mergeCell ref="B69:J69"/>
    <mergeCell ref="B150:J150"/>
    <mergeCell ref="B162:J162"/>
    <mergeCell ref="B172:J172"/>
    <mergeCell ref="B79:J79"/>
    <mergeCell ref="B94:J94"/>
    <mergeCell ref="B106:J106"/>
    <mergeCell ref="B116:J116"/>
    <mergeCell ref="B123:J123"/>
    <mergeCell ref="B135:J135"/>
    <mergeCell ref="B143:J143"/>
  </mergeCells>
  <printOptions/>
  <pageMargins bottom="1.0" footer="0.0" header="0.0" left="0.75" right="0.75" top="1.0"/>
  <pageSetup paperSize="9" orientation="portrait"/>
  <drawing r:id="rId1"/>
</worksheet>
</file>