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9040" windowHeight="15840"/>
  </bookViews>
  <sheets>
    <sheet name="Лист1" sheetId="1" r:id="rId1"/>
    <sheet name="Лист2" sheetId="2" r:id="rId2"/>
    <sheet name="Лист3" sheetId="3" r:id="rId3"/>
  </sheets>
  <definedNames>
    <definedName name="bookmark10" localSheetId="0">Лист1!$A$65</definedName>
    <definedName name="bookmark12" localSheetId="0">Лист1!$A$71</definedName>
    <definedName name="bookmark14" localSheetId="0">Лист1!$A$75</definedName>
    <definedName name="bookmark6" localSheetId="0">Лист1!$A$51</definedName>
    <definedName name="bookmark8" localSheetId="0">Лист1!$A$55</definedName>
    <definedName name="_xlnm.Print_Area" localSheetId="0">Лист1!$A$1:$F$80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1" i="1" l="1"/>
  <c r="E61" i="1"/>
  <c r="D61" i="1"/>
  <c r="C61" i="1"/>
  <c r="B61" i="1"/>
  <c r="F53" i="1" l="1"/>
  <c r="E53" i="1"/>
  <c r="D53" i="1"/>
  <c r="C53" i="1"/>
  <c r="B53" i="1"/>
</calcChain>
</file>

<file path=xl/sharedStrings.xml><?xml version="1.0" encoding="utf-8"?>
<sst xmlns="http://schemas.openxmlformats.org/spreadsheetml/2006/main" count="80" uniqueCount="80">
  <si>
    <t>Кўрсаткич</t>
  </si>
  <si>
    <t>2023</t>
  </si>
  <si>
    <t>2024</t>
  </si>
  <si>
    <t>А. АҲОЛИ ТАРКИБИ</t>
  </si>
  <si>
    <t>Жами аҳоли сони (минг киши)</t>
  </si>
  <si>
    <t>Шаҳар аҳолиси (минг киши)</t>
  </si>
  <si>
    <t>Қишлоқ аҳолиси (минг киши)</t>
  </si>
  <si>
    <t>Аҳоли зичлиги (киши/км²)</t>
  </si>
  <si>
    <t>МФЙ (маҳалла) сони (та)</t>
  </si>
  <si>
    <t>Xonadonlar soni (та)</t>
  </si>
  <si>
    <t>Савдо айланмаси (млрд сўм)</t>
  </si>
  <si>
    <t>Б. МЕҲНАТ РЕСУРСЛАРИ ВА БАНДЛИК</t>
  </si>
  <si>
    <t>Меҳнат ресурслари жами (минг киши)</t>
  </si>
  <si>
    <t>Иш билан бандлар сони (минг киши)</t>
  </si>
  <si>
    <t xml:space="preserve">расмий </t>
  </si>
  <si>
    <t>норасмий</t>
  </si>
  <si>
    <t>Расмий ишсизлик даражаси (%)</t>
  </si>
  <si>
    <t>Яширин ишсизлик (экспертча баҳо, %)</t>
  </si>
  <si>
    <t>Хизмат кўрсатиш соҳасида банд (минг киши)</t>
  </si>
  <si>
    <t>Саноатда банд (минг киши)</t>
  </si>
  <si>
    <t>Қишлоқ хўжалигида банд (минг киши)</t>
  </si>
  <si>
    <t>Бошқа соҳаларда банд (минг киши)</t>
  </si>
  <si>
    <t xml:space="preserve">2 Iqtisodiyot (YaIM sektorlar bo'yicha) 7 ta maydon • 5 yillik qator </t>
  </si>
  <si>
    <t>4 Ijtimoiy ko'rsatkichlar 4 ta maydon</t>
  </si>
  <si>
    <t xml:space="preserve">5 Tadbirkorlik muhiti </t>
  </si>
  <si>
    <t>6 Tashqi savdo</t>
  </si>
  <si>
    <t>• Eksport hajmi mln USD ■ yillik</t>
  </si>
  <si>
    <t>7 Infratuzilma va kommunal xizmatlar</t>
  </si>
  <si>
    <t>8 Ta'lim</t>
  </si>
  <si>
    <t>9 Yer fondi</t>
  </si>
  <si>
    <t>5 ta maydon · jon boshiga</t>
  </si>
  <si>
    <t>10 Hududiy taqqoslash (viloyat o'rtachasi bilan)</t>
  </si>
  <si>
    <t>maydon (ga),</t>
  </si>
  <si>
    <t>ish o'rinlari</t>
  </si>
  <si>
    <t>dona</t>
  </si>
  <si>
    <r>
      <rPr>
        <sz val="9"/>
        <color rgb="FF7F77DD"/>
        <rFont val="Arial"/>
        <family val="2"/>
        <charset val="204"/>
      </rPr>
      <t xml:space="preserve"> </t>
    </r>
    <r>
      <rPr>
        <b/>
        <i/>
        <sz val="9"/>
        <color rgb="FF1A1A2E"/>
        <rFont val="Arial"/>
        <family val="2"/>
        <charset val="204"/>
      </rPr>
      <t xml:space="preserve">Xizmatlar hajmi </t>
    </r>
    <r>
      <rPr>
        <i/>
        <sz val="9"/>
        <color rgb="FF898989"/>
        <rFont val="Arial"/>
        <family val="2"/>
        <charset val="204"/>
      </rPr>
      <t>mlrd so'm ■ yillik</t>
    </r>
  </si>
  <si>
    <r>
      <rPr>
        <sz val="9"/>
        <color rgb="FF7F77DD"/>
        <rFont val="Arial"/>
        <family val="2"/>
        <charset val="204"/>
      </rPr>
      <t xml:space="preserve"> </t>
    </r>
    <r>
      <rPr>
        <b/>
        <sz val="9"/>
        <color rgb="FF1A1A2E"/>
        <rFont val="Arial"/>
        <family val="2"/>
        <charset val="204"/>
      </rPr>
      <t xml:space="preserve">Qishloq xo'jaligi hajmi </t>
    </r>
    <r>
      <rPr>
        <b/>
        <i/>
        <sz val="9"/>
        <color rgb="FF898989"/>
        <rFont val="Arial"/>
        <family val="2"/>
        <charset val="204"/>
      </rPr>
      <t>mlrd so'm • yillik</t>
    </r>
  </si>
  <si>
    <r>
      <t xml:space="preserve"> </t>
    </r>
    <r>
      <rPr>
        <b/>
        <i/>
        <sz val="9"/>
        <color rgb="FF1A1A2E"/>
        <rFont val="Arial"/>
        <family val="2"/>
        <charset val="204"/>
      </rPr>
      <t xml:space="preserve">O'rtacha ish haqi </t>
    </r>
    <r>
      <rPr>
        <i/>
        <sz val="9"/>
        <color rgb="FF898989"/>
        <rFont val="Arial"/>
        <family val="2"/>
        <charset val="204"/>
      </rPr>
      <t>ming so'm ■ taxminiy</t>
    </r>
  </si>
  <si>
    <r>
      <t xml:space="preserve"> </t>
    </r>
    <r>
      <rPr>
        <b/>
        <sz val="9"/>
        <color rgb="FF1A1A2E"/>
        <rFont val="Arial"/>
        <family val="2"/>
        <charset val="204"/>
      </rPr>
      <t xml:space="preserve">Sanoat ishlab chiqarish hajmi </t>
    </r>
    <r>
      <rPr>
        <b/>
        <i/>
        <sz val="9"/>
        <color rgb="FF898989"/>
        <rFont val="Arial"/>
        <family val="2"/>
        <charset val="204"/>
      </rPr>
      <t>mlrd so'm • yillik</t>
    </r>
  </si>
  <si>
    <r>
      <t xml:space="preserve"> </t>
    </r>
    <r>
      <rPr>
        <b/>
        <i/>
        <sz val="9"/>
        <color rgb="FF1A1A2E"/>
        <rFont val="Arial"/>
        <family val="2"/>
        <charset val="204"/>
      </rPr>
      <t xml:space="preserve">Qurilish hajmi </t>
    </r>
    <r>
      <rPr>
        <i/>
        <sz val="9"/>
        <color rgb="FF898989"/>
        <rFont val="Arial"/>
        <family val="2"/>
        <charset val="204"/>
      </rPr>
      <t>mlrd so'm · yillik</t>
    </r>
  </si>
  <si>
    <r>
      <t xml:space="preserve"> </t>
    </r>
    <r>
      <rPr>
        <b/>
        <sz val="9"/>
        <color rgb="FF1A1A2E"/>
        <rFont val="Arial"/>
        <family val="2"/>
        <charset val="204"/>
      </rPr>
      <t xml:space="preserve">Investitsiyalar hajmi </t>
    </r>
    <r>
      <rPr>
        <b/>
        <i/>
        <sz val="9"/>
        <color rgb="FF898989"/>
        <rFont val="Arial"/>
        <family val="2"/>
        <charset val="204"/>
      </rPr>
      <t>mlrd so'm • yillik</t>
    </r>
  </si>
  <si>
    <r>
      <rPr>
        <sz val="9"/>
        <color rgb="FFE24B4A"/>
        <rFont val="Arial"/>
        <family val="2"/>
        <charset val="204"/>
      </rPr>
      <t xml:space="preserve"> </t>
    </r>
    <r>
      <rPr>
        <b/>
        <sz val="9"/>
        <color rgb="FF1A1A2E"/>
        <rFont val="Arial"/>
        <family val="2"/>
        <charset val="204"/>
      </rPr>
      <t xml:space="preserve">Ish o'rinlari (ochiq vakansiyalar) </t>
    </r>
    <r>
      <rPr>
        <b/>
        <i/>
        <sz val="9"/>
        <color rgb="FF898989"/>
        <rFont val="Arial"/>
        <family val="2"/>
        <charset val="204"/>
      </rPr>
      <t>dona</t>
    </r>
  </si>
  <si>
    <r>
      <rPr>
        <sz val="9"/>
        <color rgb="FFE24B4A"/>
        <rFont val="Arial"/>
        <family val="2"/>
        <charset val="204"/>
      </rPr>
      <t xml:space="preserve"> </t>
    </r>
    <r>
      <rPr>
        <b/>
        <sz val="9"/>
        <color rgb="FF1A1A2E"/>
        <rFont val="Arial"/>
        <family val="2"/>
        <charset val="204"/>
      </rPr>
      <t xml:space="preserve">Ayollar bandlik darajasi </t>
    </r>
    <r>
      <rPr>
        <b/>
        <i/>
        <sz val="9"/>
        <color rgb="FF898989"/>
        <rFont val="Arial"/>
        <family val="2"/>
        <charset val="204"/>
      </rPr>
      <t>% yoki kishi</t>
    </r>
  </si>
  <si>
    <r>
      <rPr>
        <sz val="9"/>
        <color rgb="FFE24B4A"/>
        <rFont val="Arial"/>
        <family val="2"/>
        <charset val="204"/>
      </rPr>
      <t xml:space="preserve"> </t>
    </r>
    <r>
      <rPr>
        <b/>
        <sz val="9"/>
        <color rgb="FF1A1A2E"/>
        <rFont val="Arial"/>
        <family val="2"/>
        <charset val="204"/>
      </rPr>
      <t xml:space="preserve">Kichik biznes xodimlari </t>
    </r>
    <r>
      <rPr>
        <b/>
        <i/>
        <sz val="9"/>
        <color rgb="FF898989"/>
        <rFont val="Arial"/>
        <family val="2"/>
        <charset val="204"/>
      </rPr>
      <t>kishi</t>
    </r>
  </si>
  <si>
    <r>
      <rPr>
        <sz val="9"/>
        <color rgb="FFE24B4A"/>
        <rFont val="Arial"/>
        <family val="2"/>
        <charset val="204"/>
      </rPr>
      <t xml:space="preserve"> </t>
    </r>
    <r>
      <rPr>
        <b/>
        <i/>
        <sz val="9"/>
        <color rgb="FF1A1A2E"/>
        <rFont val="Arial"/>
        <family val="2"/>
        <charset val="204"/>
      </rPr>
      <t xml:space="preserve">Yoshlar bandlik darajasi </t>
    </r>
    <r>
      <rPr>
        <i/>
        <sz val="9"/>
        <color rgb="FF898989"/>
        <rFont val="Arial"/>
        <family val="2"/>
        <charset val="204"/>
      </rPr>
      <t>% yoki kishi (30 yoshgacha)</t>
    </r>
  </si>
  <si>
    <r>
      <t xml:space="preserve">• </t>
    </r>
    <r>
      <rPr>
        <b/>
        <sz val="9"/>
        <color rgb="FF1A1A2E"/>
        <rFont val="Arial"/>
        <family val="2"/>
        <charset val="204"/>
      </rPr>
      <t xml:space="preserve">Ro'yxatga olingan muhtoj oilalar </t>
    </r>
    <r>
      <rPr>
        <b/>
        <i/>
        <sz val="9"/>
        <color rgb="FF898989"/>
        <rFont val="Arial"/>
        <family val="2"/>
        <charset val="204"/>
      </rPr>
      <t>dona • yillik</t>
    </r>
  </si>
  <si>
    <r>
      <t>•</t>
    </r>
    <r>
      <rPr>
        <b/>
        <sz val="9"/>
        <color rgb="FFBA7517"/>
        <rFont val="Arial"/>
        <family val="2"/>
        <charset val="204"/>
      </rPr>
      <t xml:space="preserve"> </t>
    </r>
    <r>
      <rPr>
        <b/>
        <sz val="9"/>
        <color rgb="FF1A1A2E"/>
        <rFont val="Arial"/>
        <family val="2"/>
        <charset val="204"/>
      </rPr>
      <t xml:space="preserve">Ijtimoiy himoyaga muhtoj oilalar </t>
    </r>
    <r>
      <rPr>
        <b/>
        <i/>
        <sz val="9"/>
        <color rgb="FF898989"/>
        <rFont val="Arial"/>
        <family val="2"/>
        <charset val="204"/>
      </rPr>
      <t>dona</t>
    </r>
  </si>
  <si>
    <r>
      <t xml:space="preserve">• </t>
    </r>
    <r>
      <rPr>
        <b/>
        <sz val="9"/>
        <color rgb="FF1A1A2E"/>
        <rFont val="Arial"/>
        <family val="2"/>
        <charset val="204"/>
      </rPr>
      <t xml:space="preserve">Kanbag’alik darajasi (%) </t>
    </r>
    <r>
      <rPr>
        <b/>
        <i/>
        <sz val="9"/>
        <color rgb="FF898989"/>
        <rFont val="Arial"/>
        <family val="2"/>
        <charset val="204"/>
      </rPr>
      <t>% aholidan</t>
    </r>
  </si>
  <si>
    <r>
      <t xml:space="preserve">• </t>
    </r>
    <r>
      <rPr>
        <b/>
        <sz val="9"/>
        <color rgb="FF1A1A2E"/>
        <rFont val="Arial"/>
        <family val="2"/>
        <charset val="204"/>
      </rPr>
      <t xml:space="preserve">Yashirin ishsizlik baholash </t>
    </r>
    <r>
      <rPr>
        <b/>
        <i/>
        <sz val="9"/>
        <color rgb="FF898989"/>
        <rFont val="Arial"/>
        <family val="2"/>
        <charset val="204"/>
      </rPr>
      <t>kishi • baholash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</si>
  <si>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Ro'yxatga olingan kichik korxonalar </t>
    </r>
    <r>
      <rPr>
        <b/>
        <i/>
        <sz val="9"/>
        <color rgb="FF898989"/>
        <rFont val="Arial"/>
        <family val="2"/>
        <charset val="204"/>
      </rPr>
      <t>dona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</si>
  <si>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Faolsiz kichik korxonalar </t>
    </r>
    <r>
      <rPr>
        <b/>
        <i/>
        <sz val="9"/>
        <color rgb="FF898989"/>
        <rFont val="Arial"/>
        <family val="2"/>
        <charset val="204"/>
      </rPr>
      <t>dona</t>
    </r>
  </si>
  <si>
    <r>
      <t xml:space="preserve">Kichik sanoat zonalari (KSZ) </t>
    </r>
    <r>
      <rPr>
        <sz val="9"/>
        <color rgb="FF898989"/>
        <rFont val="Arial"/>
        <family val="2"/>
        <charset val="204"/>
      </rPr>
      <t>dona, maydon (ga), loyihalar, ish o'rinlari</t>
    </r>
  </si>
  <si>
    <r>
      <t>•</t>
    </r>
    <r>
      <rPr>
        <b/>
        <sz val="9"/>
        <color rgb="FF7F77DD"/>
        <rFont val="Arial"/>
        <family val="2"/>
        <charset val="204"/>
      </rPr>
      <t xml:space="preserve"> </t>
    </r>
    <r>
      <rPr>
        <b/>
        <sz val="9"/>
        <color rgb="FF1A1A2E"/>
        <rFont val="Arial"/>
        <family val="2"/>
        <charset val="204"/>
      </rPr>
      <t xml:space="preserve">Faol kichik korxonalar </t>
    </r>
    <r>
      <rPr>
        <b/>
        <i/>
        <sz val="9"/>
        <color rgb="FF898989"/>
        <rFont val="Arial"/>
        <family val="2"/>
        <charset val="204"/>
      </rPr>
      <t>dona</t>
    </r>
  </si>
  <si>
    <r>
      <t xml:space="preserve">•   </t>
    </r>
    <r>
      <rPr>
        <b/>
        <i/>
        <sz val="9"/>
        <color rgb="FF1A1A2E"/>
        <rFont val="Arial"/>
        <family val="2"/>
        <charset val="204"/>
      </rPr>
      <t xml:space="preserve">Import hajmi </t>
    </r>
    <r>
      <rPr>
        <i/>
        <sz val="9"/>
        <color rgb="FF898989"/>
        <rFont val="Arial"/>
        <family val="2"/>
        <charset val="204"/>
      </rPr>
      <t>mln USD ■ yillik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</si>
  <si>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Savdo defitsiti/profitsiti </t>
    </r>
    <r>
      <rPr>
        <b/>
        <i/>
        <sz val="9"/>
        <color rgb="FF898989"/>
        <rFont val="Arial"/>
        <family val="2"/>
        <charset val="204"/>
      </rPr>
      <t>mln USD (Import - Eksport)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</si>
  <si>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Yo'llar jami (km) </t>
    </r>
    <r>
      <rPr>
        <b/>
        <i/>
        <sz val="9"/>
        <color rgb="FF898989"/>
        <rFont val="Arial"/>
        <family val="2"/>
        <charset val="204"/>
      </rPr>
      <t>km jami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</si>
  <si>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Tuproq / ta'mirga muhtoj (%) </t>
    </r>
    <r>
      <rPr>
        <b/>
        <i/>
        <sz val="9"/>
        <color rgb="FF898989"/>
        <rFont val="Arial"/>
        <family val="2"/>
        <charset val="204"/>
      </rPr>
      <t>%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</si>
  <si>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Ichimlik suviga kirish (%) </t>
    </r>
    <r>
      <rPr>
        <b/>
        <i/>
        <sz val="9"/>
        <color rgb="FF898989"/>
        <rFont val="Arial"/>
        <family val="2"/>
        <charset val="204"/>
      </rPr>
      <t>% xonadonlar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</si>
  <si>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Kanalizatsiya (kanalizatsiya) (%) </t>
    </r>
    <r>
      <rPr>
        <b/>
        <i/>
        <sz val="9"/>
        <color rgb="FF898989"/>
        <rFont val="Arial"/>
        <family val="2"/>
        <charset val="204"/>
      </rPr>
      <t>%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</si>
  <si>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Jamoat transporti qamrovi (%) </t>
    </r>
    <r>
      <rPr>
        <b/>
        <i/>
        <sz val="9"/>
        <color rgb="FF898989"/>
        <rFont val="Arial"/>
        <family val="2"/>
        <charset val="204"/>
      </rPr>
      <t>% yoki marshrut soni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</si>
  <si>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Qattiq qoplamali yo'llar (%) </t>
    </r>
    <r>
      <rPr>
        <b/>
        <i/>
        <sz val="9"/>
        <color rgb="FF898989"/>
        <rFont val="Arial"/>
        <family val="2"/>
        <charset val="204"/>
      </rPr>
      <t>% jami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</si>
  <si>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Elektr ta'minoti sifati (%) </t>
    </r>
    <r>
      <rPr>
        <b/>
        <i/>
        <sz val="9"/>
        <color rgb="FF898989"/>
        <rFont val="Arial"/>
        <family val="2"/>
        <charset val="204"/>
      </rPr>
      <t>% qamrov / sifat ball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</si>
  <si>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Kanalizatsiya/oqava suv qamrovi (%) </t>
    </r>
    <r>
      <rPr>
        <b/>
        <i/>
        <sz val="9"/>
        <color rgb="FF898989"/>
        <rFont val="Arial"/>
        <family val="2"/>
        <charset val="204"/>
      </rPr>
      <t>%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</si>
  <si>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Tabiiy gaz ta'minoti (%) </t>
    </r>
    <r>
      <rPr>
        <b/>
        <i/>
        <sz val="9"/>
        <color rgb="FF898989"/>
        <rFont val="Arial"/>
        <family val="2"/>
        <charset val="204"/>
      </rPr>
      <t>%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</si>
  <si>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Davlat maktablari (soni) </t>
    </r>
    <r>
      <rPr>
        <b/>
        <i/>
        <sz val="9"/>
        <color rgb="FF898989"/>
        <rFont val="Arial"/>
        <family val="2"/>
        <charset val="204"/>
      </rPr>
      <t>maktablar soni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</si>
  <si>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Davlat bog'chalari (soni) </t>
    </r>
    <r>
      <rPr>
        <b/>
        <i/>
        <sz val="9"/>
        <color rgb="FF898989"/>
        <rFont val="Arial"/>
        <family val="2"/>
        <charset val="204"/>
      </rPr>
      <t>son</t>
    </r>
  </si>
  <si>
    <r>
      <t xml:space="preserve">•   </t>
    </r>
    <r>
      <rPr>
        <b/>
        <sz val="9"/>
        <color rgb="FF1A1A2E"/>
        <rFont val="Arial"/>
        <family val="2"/>
        <charset val="204"/>
      </rPr>
      <t xml:space="preserve">Maktabgacha ta'lim qamrovi (%) </t>
    </r>
    <r>
      <rPr>
        <b/>
        <i/>
        <sz val="9"/>
        <color rgb="FF898989"/>
        <rFont val="Arial"/>
        <family val="2"/>
        <charset val="204"/>
      </rPr>
      <t>% 6 yoshli bolalar</t>
    </r>
  </si>
  <si>
    <r>
      <t xml:space="preserve">•  </t>
    </r>
    <r>
      <rPr>
        <b/>
        <sz val="9"/>
        <color rgb="FF1A1A2E"/>
        <rFont val="Arial"/>
        <family val="2"/>
        <charset val="204"/>
      </rPr>
      <t xml:space="preserve">Xususiy maktablar (soni) </t>
    </r>
    <r>
      <rPr>
        <b/>
        <i/>
        <sz val="9"/>
        <color rgb="FF898989"/>
        <rFont val="Arial"/>
        <family val="2"/>
        <charset val="204"/>
      </rPr>
      <t>maktablar soni</t>
    </r>
  </si>
  <si>
    <r>
      <t xml:space="preserve">•  </t>
    </r>
    <r>
      <rPr>
        <b/>
        <sz val="9"/>
        <color rgb="FF1A1A2E"/>
        <rFont val="Arial"/>
        <family val="2"/>
        <charset val="204"/>
      </rPr>
      <t xml:space="preserve">Oilaviy bog'chalar (soni) </t>
    </r>
    <r>
      <rPr>
        <b/>
        <i/>
        <sz val="9"/>
        <color rgb="FF898989"/>
        <rFont val="Arial"/>
        <family val="2"/>
        <charset val="204"/>
      </rPr>
      <t>son</t>
    </r>
  </si>
  <si>
    <r>
      <t xml:space="preserve">•  </t>
    </r>
    <r>
      <rPr>
        <b/>
        <sz val="9"/>
        <color rgb="FF1A1A2E"/>
        <rFont val="Arial"/>
        <family val="2"/>
        <charset val="204"/>
      </rPr>
      <t xml:space="preserve">Turar-joy hududlari (ga) </t>
    </r>
    <r>
      <rPr>
        <b/>
        <i/>
        <sz val="9"/>
        <color rgb="FF898989"/>
        <rFont val="Arial"/>
        <family val="2"/>
        <charset val="204"/>
      </rPr>
      <t>gektar</t>
    </r>
  </si>
  <si>
    <r>
      <t xml:space="preserve">•  </t>
    </r>
    <r>
      <rPr>
        <b/>
        <sz val="9"/>
        <color rgb="FF1A1A2E"/>
        <rFont val="Arial"/>
        <family val="2"/>
        <charset val="204"/>
      </rPr>
      <t xml:space="preserve">Sanoat / transport erlari (ga) </t>
    </r>
    <r>
      <rPr>
        <b/>
        <i/>
        <sz val="9"/>
        <color rgb="FF898989"/>
        <rFont val="Arial"/>
        <family val="2"/>
        <charset val="204"/>
      </rPr>
      <t>gektar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</si>
  <si>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Jon boshiga sanoat (ming so'm) </t>
    </r>
    <r>
      <rPr>
        <b/>
        <i/>
        <sz val="9"/>
        <color rgb="FF898989"/>
        <rFont val="Arial"/>
        <family val="2"/>
        <charset val="204"/>
      </rPr>
      <t>tuman va viloyat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</si>
  <si>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Jon boshiga xizmatlar (ming so'm) </t>
    </r>
    <r>
      <rPr>
        <b/>
        <i/>
        <sz val="9"/>
        <color rgb="FF898989"/>
        <rFont val="Arial"/>
        <family val="2"/>
        <charset val="204"/>
      </rPr>
      <t>tuman va viloyat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</si>
  <si>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Tumanniing viloyat jami ulushi (%) </t>
    </r>
    <r>
      <rPr>
        <b/>
        <i/>
        <sz val="9"/>
        <color rgb="FF898989"/>
        <rFont val="Arial"/>
        <family val="2"/>
        <charset val="204"/>
      </rPr>
      <t>% harbirsektor bo'yicha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</si>
  <si>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Jon boshiga investitsiya (ming so'm) </t>
    </r>
    <r>
      <rPr>
        <b/>
        <i/>
        <sz val="9"/>
        <color rgb="FF898989"/>
        <rFont val="Arial"/>
        <family val="2"/>
        <charset val="204"/>
      </rPr>
      <t>tuman va viloyat</t>
    </r>
  </si>
  <si>
    <r>
      <t xml:space="preserve">•     </t>
    </r>
    <r>
      <rPr>
        <b/>
        <sz val="9"/>
        <color rgb="FF1A1A2E"/>
        <rFont val="Arial"/>
        <family val="2"/>
        <charset val="204"/>
      </rPr>
      <t xml:space="preserve">Jon boshiga qishloq xo'jaligi (ming so'm) </t>
    </r>
    <r>
      <rPr>
        <b/>
        <i/>
        <sz val="9"/>
        <color rgb="FF898989"/>
        <rFont val="Arial"/>
        <family val="2"/>
        <charset val="204"/>
      </rPr>
      <t>tuman va viloyat</t>
    </r>
  </si>
  <si>
    <r>
      <t xml:space="preserve">• </t>
    </r>
    <r>
      <rPr>
        <b/>
        <sz val="9"/>
        <color rgb="FF1A1A2E"/>
        <rFont val="Arial"/>
        <family val="2"/>
        <charset val="204"/>
      </rPr>
      <t xml:space="preserve">Respublika sanoatidagi viloyat ulushi </t>
    </r>
    <r>
      <rPr>
        <b/>
        <i/>
        <sz val="9"/>
        <color rgb="FF898989"/>
        <rFont val="Arial"/>
        <family val="2"/>
        <charset val="204"/>
      </rPr>
      <t>%</t>
    </r>
  </si>
  <si>
    <r>
      <t>•   </t>
    </r>
    <r>
      <rPr>
        <b/>
        <sz val="9"/>
        <color rgb="FF1A1A2E"/>
        <rFont val="Arial"/>
        <family val="2"/>
        <charset val="204"/>
      </rPr>
      <t xml:space="preserve">Shaxsiy tomortqa uchastkalar (ga) </t>
    </r>
    <r>
      <rPr>
        <b/>
        <i/>
        <sz val="9"/>
        <color rgb="FF898989"/>
        <rFont val="Arial"/>
        <family val="2"/>
        <charset val="204"/>
      </rPr>
      <t>gektar + xonadonlar soni</t>
    </r>
  </si>
  <si>
    <r>
      <t xml:space="preserve"> </t>
    </r>
    <r>
      <rPr>
        <b/>
        <sz val="9"/>
        <rFont val="Arial"/>
        <family val="2"/>
        <charset val="204"/>
      </rPr>
      <t xml:space="preserve">Mehnat muhojiri (chiquvchi) </t>
    </r>
    <r>
      <rPr>
        <b/>
        <i/>
        <sz val="9"/>
        <rFont val="Arial"/>
        <family val="2"/>
        <charset val="204"/>
      </rPr>
      <t>kishi • yillik</t>
    </r>
  </si>
  <si>
    <t>loyihalar,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</si>
</sst>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595959"/>
      <name val="Arial"/>
      <family val="2"/>
      <charset val="204"/>
    </font>
    <font>
      <sz val="9"/>
      <color rgb="FF1A1A2E"/>
      <name val="Arial"/>
      <family val="2"/>
      <charset val="204"/>
    </font>
    <font>
      <sz val="9"/>
      <color rgb="FF7F77DD"/>
      <name val="Arial"/>
      <family val="2"/>
      <charset val="204"/>
    </font>
    <font>
      <b/>
      <i/>
      <sz val="9"/>
      <color rgb="FF1A1A2E"/>
      <name val="Arial"/>
      <family val="2"/>
      <charset val="204"/>
    </font>
    <font>
      <b/>
      <sz val="9"/>
      <color rgb="FF1A1A2E"/>
      <name val="Arial"/>
      <family val="2"/>
      <charset val="204"/>
    </font>
    <font>
      <sz val="10"/>
      <name val="Times New Roman"/>
      <family val="1"/>
      <charset val="204"/>
    </font>
    <font>
      <b/>
      <sz val="9"/>
      <color rgb="FFBA7517"/>
      <name val="Arial"/>
      <family val="2"/>
      <charset val="204"/>
    </font>
    <font>
      <b/>
      <i/>
      <sz val="9"/>
      <color rgb="FFBA7517"/>
      <name val="Arial"/>
      <family val="2"/>
      <charset val="204"/>
    </font>
    <font>
      <b/>
      <i/>
      <sz val="9"/>
      <color rgb="FF7F77DD"/>
      <name val="Arial"/>
      <family val="2"/>
      <charset val="204"/>
    </font>
    <font>
      <b/>
      <sz val="9"/>
      <color rgb="FF7F77DD"/>
      <name val="Arial"/>
      <family val="2"/>
      <charset val="204"/>
    </font>
    <font>
      <sz val="9"/>
      <color rgb="FF185FA5"/>
      <name val="Arial"/>
      <family val="2"/>
      <charset val="204"/>
    </font>
    <font>
      <sz val="9"/>
      <color rgb="FF639922"/>
      <name val="Arial"/>
      <family val="2"/>
      <charset val="204"/>
    </font>
    <font>
      <sz val="9"/>
      <color rgb="FF534AB7"/>
      <name val="Arial"/>
      <family val="2"/>
      <charset val="204"/>
    </font>
    <font>
      <sz val="10"/>
      <color indexed="8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color rgb="FF595959"/>
      <name val="Arial"/>
      <family val="2"/>
      <charset val="204"/>
    </font>
    <font>
      <i/>
      <sz val="9"/>
      <color rgb="FF898989"/>
      <name val="Arial"/>
      <family val="2"/>
      <charset val="204"/>
    </font>
    <font>
      <b/>
      <i/>
      <sz val="9"/>
      <color rgb="FF898989"/>
      <name val="Arial"/>
      <family val="2"/>
      <charset val="204"/>
    </font>
    <font>
      <sz val="9"/>
      <color rgb="FFE24B4A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0"/>
      <name val="Arial"/>
      <family val="2"/>
      <charset val="204"/>
    </font>
    <font>
      <sz val="9"/>
      <color rgb="FF898989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7" fillId="0" borderId="0"/>
  </cellStyleXfs>
  <cellXfs count="90">
    <xf numFmtId="0" fontId="0" fillId="0" borderId="0" xfId="0"/>
    <xf numFmtId="0" fontId="16" fillId="3" borderId="1" xfId="0" applyFont="1" applyFill="1" applyBorder="1"/>
    <xf numFmtId="0" fontId="7" fillId="5" borderId="1" xfId="0" applyFont="1" applyFill="1" applyBorder="1"/>
    <xf numFmtId="0" fontId="14" fillId="0" borderId="1" xfId="0" applyFont="1" applyFill="1" applyBorder="1"/>
    <xf numFmtId="0" fontId="15" fillId="0" borderId="1" xfId="0" applyFont="1" applyFill="1" applyBorder="1"/>
    <xf numFmtId="0" fontId="7" fillId="0" borderId="1" xfId="0" applyFont="1" applyFill="1" applyBorder="1"/>
    <xf numFmtId="0" fontId="18" fillId="2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8" fillId="2" borderId="2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vertical="center" wrapText="1"/>
    </xf>
    <xf numFmtId="0" fontId="19" fillId="4" borderId="3" xfId="0" applyFont="1" applyFill="1" applyBorder="1"/>
    <xf numFmtId="0" fontId="20" fillId="5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vertical="center" wrapText="1"/>
    </xf>
    <xf numFmtId="0" fontId="26" fillId="4" borderId="1" xfId="0" applyFont="1" applyFill="1" applyBorder="1" applyAlignment="1">
      <alignment vertical="center" wrapText="1"/>
    </xf>
    <xf numFmtId="0" fontId="27" fillId="4" borderId="1" xfId="0" applyFont="1" applyFill="1" applyBorder="1"/>
    <xf numFmtId="0" fontId="19" fillId="5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64" fontId="19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vertical="center"/>
    </xf>
    <xf numFmtId="165" fontId="19" fillId="3" borderId="1" xfId="0" applyNumberFormat="1" applyFont="1" applyFill="1" applyBorder="1"/>
    <xf numFmtId="164" fontId="21" fillId="0" borderId="1" xfId="0" applyNumberFormat="1" applyFont="1" applyFill="1" applyBorder="1" applyAlignment="1">
      <alignment horizontal="center" vertical="center"/>
    </xf>
    <xf numFmtId="1" fontId="21" fillId="0" borderId="1" xfId="0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vertical="center" wrapText="1"/>
    </xf>
    <xf numFmtId="0" fontId="19" fillId="4" borderId="7" xfId="0" applyFont="1" applyFill="1" applyBorder="1"/>
    <xf numFmtId="0" fontId="19" fillId="0" borderId="1" xfId="0" applyFont="1" applyFill="1" applyBorder="1"/>
    <xf numFmtId="0" fontId="6" fillId="0" borderId="1" xfId="0" applyFont="1" applyFill="1" applyBorder="1"/>
    <xf numFmtId="165" fontId="3" fillId="0" borderId="1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164" fontId="21" fillId="0" borderId="2" xfId="0" applyNumberFormat="1" applyFont="1" applyFill="1" applyBorder="1" applyAlignment="1">
      <alignment horizontal="center" vertical="center"/>
    </xf>
    <xf numFmtId="1" fontId="21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Fill="1" applyBorder="1" applyAlignment="1">
      <alignment horizontal="center" vertical="center" wrapText="1"/>
    </xf>
    <xf numFmtId="0" fontId="27" fillId="4" borderId="2" xfId="0" applyFont="1" applyFill="1" applyBorder="1"/>
    <xf numFmtId="0" fontId="19" fillId="5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/>
    </xf>
    <xf numFmtId="165" fontId="19" fillId="3" borderId="2" xfId="0" applyNumberFormat="1" applyFont="1" applyFill="1" applyBorder="1"/>
    <xf numFmtId="0" fontId="19" fillId="0" borderId="0" xfId="0" applyFont="1" applyBorder="1"/>
    <xf numFmtId="0" fontId="19" fillId="0" borderId="0" xfId="0" applyFont="1" applyFill="1" applyBorder="1"/>
    <xf numFmtId="0" fontId="19" fillId="3" borderId="0" xfId="0" applyFont="1" applyFill="1" applyBorder="1"/>
    <xf numFmtId="0" fontId="19" fillId="5" borderId="0" xfId="0" applyFont="1" applyFill="1" applyBorder="1"/>
    <xf numFmtId="1" fontId="3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 indent="1"/>
    </xf>
    <xf numFmtId="0" fontId="10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12" fillId="0" borderId="1" xfId="0" applyFont="1" applyFill="1" applyBorder="1"/>
    <xf numFmtId="3" fontId="9" fillId="0" borderId="4" xfId="0" quotePrefix="1" applyNumberFormat="1" applyFont="1" applyFill="1" applyBorder="1" applyAlignment="1">
      <alignment horizontal="center" vertical="center"/>
    </xf>
    <xf numFmtId="3" fontId="9" fillId="0" borderId="4" xfId="3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/>
    <xf numFmtId="165" fontId="9" fillId="0" borderId="4" xfId="0" quotePrefix="1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/>
    <xf numFmtId="164" fontId="3" fillId="0" borderId="1" xfId="0" applyNumberFormat="1" applyFont="1" applyFill="1" applyBorder="1" applyAlignment="1">
      <alignment horizontal="center" vertical="center" wrapText="1"/>
    </xf>
    <xf numFmtId="0" fontId="19" fillId="5" borderId="2" xfId="0" applyFont="1" applyFill="1" applyBorder="1"/>
    <xf numFmtId="0" fontId="21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vertical="top" wrapText="1"/>
    </xf>
    <xf numFmtId="1" fontId="19" fillId="5" borderId="1" xfId="0" applyNumberFormat="1" applyFont="1" applyFill="1" applyBorder="1" applyAlignment="1">
      <alignment horizontal="center" vertical="center"/>
    </xf>
    <xf numFmtId="1" fontId="19" fillId="5" borderId="2" xfId="0" applyNumberFormat="1" applyFont="1" applyFill="1" applyBorder="1" applyAlignment="1">
      <alignment horizontal="center" vertical="center"/>
    </xf>
    <xf numFmtId="0" fontId="13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/>
    <xf numFmtId="0" fontId="21" fillId="0" borderId="1" xfId="0" applyFont="1" applyFill="1" applyBorder="1" applyAlignment="1">
      <alignment horizontal="left" vertical="center" wrapText="1"/>
    </xf>
    <xf numFmtId="0" fontId="21" fillId="0" borderId="0" xfId="0" applyFont="1" applyFill="1" applyBorder="1"/>
    <xf numFmtId="1" fontId="20" fillId="0" borderId="1" xfId="0" applyNumberFormat="1" applyFont="1" applyFill="1" applyBorder="1" applyAlignment="1">
      <alignment horizontal="center" vertical="center" wrapText="1"/>
    </xf>
    <xf numFmtId="1" fontId="22" fillId="0" borderId="1" xfId="0" applyNumberFormat="1" applyFont="1" applyFill="1" applyBorder="1" applyAlignment="1">
      <alignment horizontal="center" vertical="center" wrapText="1"/>
    </xf>
    <xf numFmtId="1" fontId="22" fillId="0" borderId="2" xfId="0" applyNumberFormat="1" applyFont="1" applyFill="1" applyBorder="1" applyAlignment="1">
      <alignment horizontal="center" vertical="center" wrapText="1"/>
    </xf>
    <xf numFmtId="164" fontId="20" fillId="0" borderId="0" xfId="0" applyNumberFormat="1" applyFont="1" applyFill="1" applyBorder="1" applyAlignment="1">
      <alignment horizontal="center" vertical="center" wrapText="1"/>
    </xf>
    <xf numFmtId="164" fontId="22" fillId="0" borderId="0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64" fontId="20" fillId="0" borderId="1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9" fillId="0" borderId="1" xfId="0" applyFont="1" applyBorder="1"/>
    <xf numFmtId="0" fontId="18" fillId="2" borderId="5" xfId="0" applyFont="1" applyFill="1" applyBorder="1" applyAlignment="1">
      <alignment horizontal="left" vertical="center" wrapText="1"/>
    </xf>
    <xf numFmtId="0" fontId="19" fillId="0" borderId="5" xfId="0" applyFont="1" applyBorder="1"/>
  </cellXfs>
  <cellStyles count="4">
    <cellStyle name="Обычный" xfId="0" builtinId="0"/>
    <cellStyle name="Обычный 10" xfId="1"/>
    <cellStyle name="Обычный 11" xfId="2"/>
    <cellStyle name="Обычный_Лист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80"/>
  <sheetViews>
    <sheetView tabSelected="1" view="pageBreakPreview" zoomScaleNormal="100" zoomScaleSheetLayoutView="100" workbookViewId="0"/>
  </sheetViews>
  <sheetFormatPr defaultRowHeight="12" x14ac:dyDescent="0.2"/>
  <cols>
    <col min="1" max="1" width="54.140625" style="7" bestFit="1" customWidth="1"/>
    <col min="2" max="2" width="9.7109375" style="7" bestFit="1" customWidth="1"/>
    <col min="3" max="4" width="9.28515625" style="7" bestFit="1" customWidth="1"/>
    <col min="5" max="6" width="9.7109375" style="7" bestFit="1" customWidth="1"/>
    <col min="7" max="16384" width="9.140625" style="43"/>
  </cols>
  <sheetData>
    <row r="4" spans="1:6" x14ac:dyDescent="0.2">
      <c r="A4" s="6" t="s">
        <v>0</v>
      </c>
      <c r="B4" s="6">
        <v>2021</v>
      </c>
      <c r="C4" s="6">
        <v>2022</v>
      </c>
      <c r="D4" s="6" t="s">
        <v>1</v>
      </c>
      <c r="E4" s="6" t="s">
        <v>2</v>
      </c>
      <c r="F4" s="31">
        <v>2025</v>
      </c>
    </row>
    <row r="5" spans="1:6" x14ac:dyDescent="0.2">
      <c r="A5" s="86" t="s">
        <v>3</v>
      </c>
      <c r="B5" s="86"/>
      <c r="C5" s="86"/>
      <c r="D5" s="87"/>
      <c r="E5" s="87"/>
      <c r="F5" s="87"/>
    </row>
    <row r="6" spans="1:6" s="44" customFormat="1" x14ac:dyDescent="0.2">
      <c r="A6" s="12" t="s">
        <v>4</v>
      </c>
      <c r="B6" s="23">
        <v>3947.7</v>
      </c>
      <c r="C6" s="23">
        <v>4031.3</v>
      </c>
      <c r="D6" s="23">
        <v>4118.2</v>
      </c>
      <c r="E6" s="23">
        <v>4208.5</v>
      </c>
      <c r="F6" s="32">
        <v>4297.5</v>
      </c>
    </row>
    <row r="7" spans="1:6" s="44" customFormat="1" x14ac:dyDescent="0.2">
      <c r="A7" s="12" t="s">
        <v>5</v>
      </c>
      <c r="B7" s="23">
        <v>1458.7</v>
      </c>
      <c r="C7" s="23">
        <v>1483.1</v>
      </c>
      <c r="D7" s="23">
        <v>1513</v>
      </c>
      <c r="E7" s="23">
        <v>1542.9</v>
      </c>
      <c r="F7" s="32">
        <v>1570.6</v>
      </c>
    </row>
    <row r="8" spans="1:6" s="44" customFormat="1" x14ac:dyDescent="0.2">
      <c r="A8" s="12" t="s">
        <v>6</v>
      </c>
      <c r="B8" s="23">
        <v>2489</v>
      </c>
      <c r="C8" s="23">
        <v>2548.1999999999998</v>
      </c>
      <c r="D8" s="23">
        <v>2605.1999999999998</v>
      </c>
      <c r="E8" s="23">
        <v>2665.6</v>
      </c>
      <c r="F8" s="32">
        <v>2726.9</v>
      </c>
    </row>
    <row r="9" spans="1:6" s="44" customFormat="1" x14ac:dyDescent="0.2">
      <c r="A9" s="12" t="s">
        <v>7</v>
      </c>
      <c r="B9" s="23">
        <v>235.4</v>
      </c>
      <c r="C9" s="23">
        <v>240.4</v>
      </c>
      <c r="D9" s="23">
        <v>245.6</v>
      </c>
      <c r="E9" s="23">
        <v>251</v>
      </c>
      <c r="F9" s="32">
        <v>256.3</v>
      </c>
    </row>
    <row r="10" spans="1:6" s="44" customFormat="1" x14ac:dyDescent="0.2">
      <c r="A10" s="12" t="s">
        <v>8</v>
      </c>
      <c r="B10" s="24">
        <v>1126</v>
      </c>
      <c r="C10" s="24">
        <v>1126</v>
      </c>
      <c r="D10" s="24">
        <v>1126</v>
      </c>
      <c r="E10" s="24">
        <v>1126</v>
      </c>
      <c r="F10" s="33">
        <v>1063</v>
      </c>
    </row>
    <row r="11" spans="1:6" s="44" customFormat="1" ht="15" x14ac:dyDescent="0.2">
      <c r="A11" s="73" t="s">
        <v>9</v>
      </c>
      <c r="B11" s="72">
        <v>790446</v>
      </c>
      <c r="C11" s="72">
        <v>800281</v>
      </c>
      <c r="D11" s="72">
        <v>810547</v>
      </c>
      <c r="E11" s="72">
        <v>821676</v>
      </c>
      <c r="F11" s="72">
        <v>841957</v>
      </c>
    </row>
    <row r="12" spans="1:6" s="45" customFormat="1" x14ac:dyDescent="0.2">
      <c r="A12" s="88" t="s">
        <v>22</v>
      </c>
      <c r="B12" s="88"/>
      <c r="C12" s="88"/>
      <c r="D12" s="89"/>
      <c r="E12" s="89"/>
      <c r="F12" s="89"/>
    </row>
    <row r="13" spans="1:6" s="44" customFormat="1" x14ac:dyDescent="0.2">
      <c r="A13" s="12" t="s">
        <v>35</v>
      </c>
      <c r="B13" s="23">
        <v>18259</v>
      </c>
      <c r="C13" s="23">
        <v>22953.599999999999</v>
      </c>
      <c r="D13" s="23">
        <v>46593</v>
      </c>
      <c r="E13" s="23">
        <v>61018.0194883</v>
      </c>
      <c r="F13" s="34">
        <v>78163.015996600006</v>
      </c>
    </row>
    <row r="14" spans="1:6" s="44" customFormat="1" x14ac:dyDescent="0.2">
      <c r="A14" s="12" t="s">
        <v>36</v>
      </c>
      <c r="B14" s="23">
        <v>40329.599999999999</v>
      </c>
      <c r="C14" s="23">
        <v>42088.9</v>
      </c>
      <c r="D14" s="23">
        <v>51023.3</v>
      </c>
      <c r="E14" s="23">
        <v>56830.8</v>
      </c>
      <c r="F14" s="34">
        <v>60758.2</v>
      </c>
    </row>
    <row r="15" spans="1:6" s="44" customFormat="1" x14ac:dyDescent="0.2">
      <c r="A15" s="29" t="s">
        <v>37</v>
      </c>
      <c r="B15" s="23">
        <v>2459</v>
      </c>
      <c r="C15" s="23">
        <v>2892.5</v>
      </c>
      <c r="D15" s="23">
        <v>3408.4</v>
      </c>
      <c r="E15" s="23">
        <v>4022.3</v>
      </c>
      <c r="F15" s="35">
        <v>4737.6000000000004</v>
      </c>
    </row>
    <row r="16" spans="1:6" s="44" customFormat="1" x14ac:dyDescent="0.2">
      <c r="A16" s="29" t="s">
        <v>38</v>
      </c>
      <c r="B16" s="23">
        <v>22834.3</v>
      </c>
      <c r="C16" s="23">
        <v>29188.6</v>
      </c>
      <c r="D16" s="23">
        <v>32955.699999999997</v>
      </c>
      <c r="E16" s="23">
        <v>45408</v>
      </c>
      <c r="F16" s="34">
        <v>57767.540159536591</v>
      </c>
    </row>
    <row r="17" spans="1:6" s="44" customFormat="1" x14ac:dyDescent="0.2">
      <c r="A17" s="29" t="s">
        <v>39</v>
      </c>
      <c r="B17" s="23">
        <v>7385.7</v>
      </c>
      <c r="C17" s="23">
        <v>8895.4</v>
      </c>
      <c r="D17" s="23">
        <v>13199.3</v>
      </c>
      <c r="E17" s="23">
        <v>15389.5</v>
      </c>
      <c r="F17" s="34">
        <v>18637.5</v>
      </c>
    </row>
    <row r="18" spans="1:6" s="44" customFormat="1" x14ac:dyDescent="0.2">
      <c r="A18" s="29" t="s">
        <v>40</v>
      </c>
      <c r="B18" s="23">
        <v>15641.6</v>
      </c>
      <c r="C18" s="23">
        <v>18917.099999999999</v>
      </c>
      <c r="D18" s="23">
        <v>25717.1</v>
      </c>
      <c r="E18" s="23">
        <v>28946.929400000001</v>
      </c>
      <c r="F18" s="34">
        <v>38281.9</v>
      </c>
    </row>
    <row r="19" spans="1:6" s="44" customFormat="1" x14ac:dyDescent="0.2">
      <c r="A19" s="12" t="s">
        <v>10</v>
      </c>
      <c r="B19" s="23">
        <v>19882</v>
      </c>
      <c r="C19" s="23">
        <v>25342.5</v>
      </c>
      <c r="D19" s="23">
        <v>30196.5</v>
      </c>
      <c r="E19" s="23">
        <v>35994.699999999997</v>
      </c>
      <c r="F19" s="34">
        <v>41892.427000280091</v>
      </c>
    </row>
    <row r="20" spans="1:6" x14ac:dyDescent="0.2">
      <c r="A20" s="25" t="s">
        <v>11</v>
      </c>
      <c r="B20" s="26"/>
      <c r="C20" s="26"/>
      <c r="D20" s="27"/>
      <c r="E20" s="27"/>
      <c r="F20" s="27"/>
    </row>
    <row r="21" spans="1:6" s="44" customFormat="1" ht="12.75" x14ac:dyDescent="0.2">
      <c r="A21" s="12" t="s">
        <v>12</v>
      </c>
      <c r="B21" s="30">
        <v>2122</v>
      </c>
      <c r="C21" s="30">
        <v>2160.4</v>
      </c>
      <c r="D21" s="30">
        <v>2167.6</v>
      </c>
      <c r="E21" s="30">
        <v>2193.6</v>
      </c>
      <c r="F21" s="30">
        <v>2239.0360000000001</v>
      </c>
    </row>
    <row r="22" spans="1:6" s="44" customFormat="1" ht="12.75" x14ac:dyDescent="0.2">
      <c r="A22" s="12" t="s">
        <v>13</v>
      </c>
      <c r="B22" s="30">
        <v>1441.3</v>
      </c>
      <c r="C22" s="30">
        <v>1489.5</v>
      </c>
      <c r="D22" s="30">
        <v>1504.2</v>
      </c>
      <c r="E22" s="30">
        <v>1521.4</v>
      </c>
      <c r="F22" s="30">
        <v>1611.68</v>
      </c>
    </row>
    <row r="23" spans="1:6" s="44" customFormat="1" ht="12.75" x14ac:dyDescent="0.2">
      <c r="A23" s="48" t="s">
        <v>14</v>
      </c>
      <c r="B23" s="30">
        <v>483.6</v>
      </c>
      <c r="C23" s="30">
        <v>565.79999999999995</v>
      </c>
      <c r="D23" s="30">
        <v>525.29999999999995</v>
      </c>
      <c r="E23" s="30">
        <v>686.5</v>
      </c>
      <c r="F23" s="30">
        <v>813.24800000000005</v>
      </c>
    </row>
    <row r="24" spans="1:6" s="44" customFormat="1" ht="12.75" x14ac:dyDescent="0.2">
      <c r="A24" s="48" t="s">
        <v>15</v>
      </c>
      <c r="B24" s="30">
        <v>664.5</v>
      </c>
      <c r="C24" s="30">
        <v>648.20000000000005</v>
      </c>
      <c r="D24" s="30">
        <v>658.5</v>
      </c>
      <c r="E24" s="30">
        <v>648.9</v>
      </c>
      <c r="F24" s="30">
        <v>580.29999999999995</v>
      </c>
    </row>
    <row r="25" spans="1:6" s="44" customFormat="1" ht="12.75" x14ac:dyDescent="0.2">
      <c r="A25" s="12" t="s">
        <v>16</v>
      </c>
      <c r="B25" s="30">
        <v>9.9</v>
      </c>
      <c r="C25" s="30">
        <v>9.3000000000000007</v>
      </c>
      <c r="D25" s="30">
        <v>6.6</v>
      </c>
      <c r="E25" s="30">
        <v>5.4</v>
      </c>
      <c r="F25" s="30">
        <v>4.7448493198129267</v>
      </c>
    </row>
    <row r="26" spans="1:6" s="46" customFormat="1" x14ac:dyDescent="0.2">
      <c r="A26" s="11" t="s">
        <v>17</v>
      </c>
      <c r="B26" s="63"/>
      <c r="C26" s="63"/>
      <c r="D26" s="63"/>
      <c r="E26" s="63"/>
      <c r="F26" s="64"/>
    </row>
    <row r="27" spans="1:6" s="44" customFormat="1" ht="12.75" x14ac:dyDescent="0.2">
      <c r="A27" s="12" t="s">
        <v>18</v>
      </c>
      <c r="B27" s="47">
        <v>766.50000000000023</v>
      </c>
      <c r="C27" s="47">
        <v>798.09999999999991</v>
      </c>
      <c r="D27" s="47">
        <v>809.8</v>
      </c>
      <c r="E27" s="47">
        <v>847.625</v>
      </c>
      <c r="F27" s="47">
        <v>908.33</v>
      </c>
    </row>
    <row r="28" spans="1:6" s="44" customFormat="1" ht="12.75" x14ac:dyDescent="0.2">
      <c r="A28" s="12" t="s">
        <v>19</v>
      </c>
      <c r="B28" s="47">
        <v>180.39999999999998</v>
      </c>
      <c r="C28" s="47">
        <v>178.20000000000002</v>
      </c>
      <c r="D28" s="47">
        <v>181.5</v>
      </c>
      <c r="E28" s="47">
        <v>163.09</v>
      </c>
      <c r="F28" s="47">
        <v>188.61500000000001</v>
      </c>
    </row>
    <row r="29" spans="1:6" s="44" customFormat="1" ht="12.75" x14ac:dyDescent="0.2">
      <c r="A29" s="12" t="s">
        <v>20</v>
      </c>
      <c r="B29" s="47">
        <v>376.1</v>
      </c>
      <c r="C29" s="47">
        <v>384.90000000000003</v>
      </c>
      <c r="D29" s="47">
        <v>375.2</v>
      </c>
      <c r="E29" s="47">
        <v>350.51299999999998</v>
      </c>
      <c r="F29" s="47">
        <v>327.95499999999998</v>
      </c>
    </row>
    <row r="30" spans="1:6" s="44" customFormat="1" ht="12.75" x14ac:dyDescent="0.2">
      <c r="A30" s="12" t="s">
        <v>21</v>
      </c>
      <c r="B30" s="47">
        <v>118.29999999999973</v>
      </c>
      <c r="C30" s="47">
        <v>128.30000000000001</v>
      </c>
      <c r="D30" s="47">
        <v>137.7000000000001</v>
      </c>
      <c r="E30" s="47">
        <v>160.17200000000008</v>
      </c>
      <c r="F30" s="47">
        <v>186.78000000000003</v>
      </c>
    </row>
    <row r="31" spans="1:6" s="44" customFormat="1" ht="15" x14ac:dyDescent="0.25">
      <c r="A31" s="12" t="s">
        <v>41</v>
      </c>
      <c r="B31" s="71">
        <v>12646</v>
      </c>
      <c r="C31" s="71">
        <v>20421</v>
      </c>
      <c r="D31" s="71">
        <v>19402</v>
      </c>
      <c r="E31" s="71">
        <v>20389</v>
      </c>
      <c r="F31" s="71">
        <v>20587</v>
      </c>
    </row>
    <row r="32" spans="1:6" s="46" customFormat="1" x14ac:dyDescent="0.2">
      <c r="A32" s="11" t="s">
        <v>42</v>
      </c>
      <c r="B32" s="16"/>
      <c r="C32" s="16"/>
      <c r="D32" s="16"/>
      <c r="E32" s="16"/>
      <c r="F32" s="37"/>
    </row>
    <row r="33" spans="1:8" s="75" customFormat="1" x14ac:dyDescent="0.2">
      <c r="A33" s="74" t="s">
        <v>78</v>
      </c>
      <c r="B33" s="19">
        <v>232545</v>
      </c>
      <c r="C33" s="19">
        <v>217432</v>
      </c>
      <c r="D33" s="19">
        <v>210892</v>
      </c>
      <c r="E33" s="19">
        <v>261576</v>
      </c>
      <c r="F33" s="40">
        <v>174374</v>
      </c>
    </row>
    <row r="34" spans="1:8" s="46" customFormat="1" x14ac:dyDescent="0.2">
      <c r="A34" s="11" t="s">
        <v>43</v>
      </c>
      <c r="B34" s="68"/>
      <c r="C34" s="68"/>
      <c r="D34" s="68"/>
      <c r="E34" s="68"/>
      <c r="F34" s="69"/>
    </row>
    <row r="35" spans="1:8" s="46" customFormat="1" x14ac:dyDescent="0.2">
      <c r="A35" s="11" t="s">
        <v>44</v>
      </c>
      <c r="B35" s="16"/>
      <c r="C35" s="16"/>
      <c r="D35" s="16"/>
      <c r="E35" s="16"/>
      <c r="F35" s="37"/>
    </row>
    <row r="36" spans="1:8" ht="14.25" customHeight="1" x14ac:dyDescent="0.2">
      <c r="A36" s="8" t="s">
        <v>23</v>
      </c>
      <c r="B36" s="9"/>
      <c r="C36" s="9"/>
      <c r="D36" s="10"/>
      <c r="E36" s="10"/>
      <c r="F36" s="10"/>
    </row>
    <row r="37" spans="1:8" s="46" customFormat="1" x14ac:dyDescent="0.2">
      <c r="A37" s="66" t="s">
        <v>45</v>
      </c>
      <c r="B37" s="16"/>
      <c r="C37" s="16"/>
      <c r="D37" s="16"/>
      <c r="E37" s="16"/>
      <c r="F37" s="37"/>
    </row>
    <row r="38" spans="1:8" s="46" customFormat="1" x14ac:dyDescent="0.2">
      <c r="A38" s="67" t="s">
        <v>46</v>
      </c>
      <c r="B38" s="16"/>
      <c r="C38" s="16"/>
      <c r="D38" s="16"/>
      <c r="E38" s="16"/>
      <c r="F38" s="37"/>
    </row>
    <row r="39" spans="1:8" s="44" customFormat="1" ht="12.75" x14ac:dyDescent="0.2">
      <c r="A39" s="49" t="s">
        <v>47</v>
      </c>
      <c r="B39" s="50">
        <v>18.2</v>
      </c>
      <c r="C39" s="50">
        <v>14</v>
      </c>
      <c r="D39" s="51">
        <v>10.5</v>
      </c>
      <c r="E39" s="51">
        <v>7.5</v>
      </c>
      <c r="F39" s="51">
        <v>6.1</v>
      </c>
    </row>
    <row r="40" spans="1:8" s="46" customFormat="1" x14ac:dyDescent="0.2">
      <c r="A40" s="65" t="s">
        <v>48</v>
      </c>
      <c r="B40" s="57"/>
      <c r="C40" s="57"/>
      <c r="D40" s="57"/>
      <c r="E40" s="57"/>
      <c r="F40" s="62"/>
    </row>
    <row r="41" spans="1:8" ht="23.25" customHeight="1" x14ac:dyDescent="0.2">
      <c r="A41" s="13" t="s">
        <v>24</v>
      </c>
      <c r="B41" s="13"/>
      <c r="C41" s="14"/>
      <c r="D41" s="15"/>
      <c r="E41" s="15"/>
      <c r="F41" s="36"/>
    </row>
    <row r="42" spans="1:8" s="44" customFormat="1" ht="12.75" x14ac:dyDescent="0.2">
      <c r="A42" s="29" t="s">
        <v>49</v>
      </c>
      <c r="B42" s="54">
        <v>35022</v>
      </c>
      <c r="C42" s="55">
        <v>43130</v>
      </c>
      <c r="D42" s="55">
        <v>51025</v>
      </c>
      <c r="E42" s="55">
        <v>55029</v>
      </c>
      <c r="F42" s="55">
        <v>56322</v>
      </c>
    </row>
    <row r="43" spans="1:8" s="44" customFormat="1" ht="12.75" x14ac:dyDescent="0.2">
      <c r="A43" s="29" t="s">
        <v>50</v>
      </c>
      <c r="B43" s="56">
        <v>1908</v>
      </c>
      <c r="C43" s="56">
        <v>2406</v>
      </c>
      <c r="D43" s="54">
        <v>3082</v>
      </c>
      <c r="E43" s="54">
        <v>17631</v>
      </c>
      <c r="F43" s="54">
        <v>24852</v>
      </c>
      <c r="G43" s="52"/>
      <c r="H43" s="52"/>
    </row>
    <row r="44" spans="1:8" s="46" customFormat="1" x14ac:dyDescent="0.2">
      <c r="A44" s="2" t="s">
        <v>51</v>
      </c>
      <c r="B44" s="16"/>
      <c r="C44" s="16"/>
      <c r="D44" s="16"/>
      <c r="E44" s="16"/>
      <c r="F44" s="37"/>
    </row>
    <row r="45" spans="1:8" s="44" customFormat="1" x14ac:dyDescent="0.2">
      <c r="A45" s="5" t="s">
        <v>34</v>
      </c>
      <c r="B45" s="17">
        <v>62</v>
      </c>
      <c r="C45" s="17">
        <v>62</v>
      </c>
      <c r="D45" s="17">
        <v>62</v>
      </c>
      <c r="E45" s="17">
        <v>62</v>
      </c>
      <c r="F45" s="38">
        <v>62</v>
      </c>
    </row>
    <row r="46" spans="1:8" s="44" customFormat="1" x14ac:dyDescent="0.2">
      <c r="A46" s="5" t="s">
        <v>32</v>
      </c>
      <c r="B46" s="18">
        <v>257</v>
      </c>
      <c r="C46" s="18">
        <v>257</v>
      </c>
      <c r="D46" s="18">
        <v>257</v>
      </c>
      <c r="E46" s="18">
        <v>257</v>
      </c>
      <c r="F46" s="39">
        <v>257</v>
      </c>
    </row>
    <row r="47" spans="1:8" s="44" customFormat="1" x14ac:dyDescent="0.2">
      <c r="A47" s="5" t="s">
        <v>79</v>
      </c>
      <c r="B47" s="17">
        <v>210</v>
      </c>
      <c r="C47" s="17">
        <v>203</v>
      </c>
      <c r="D47" s="17">
        <v>452</v>
      </c>
      <c r="E47" s="17">
        <v>367</v>
      </c>
      <c r="F47" s="38">
        <v>322</v>
      </c>
    </row>
    <row r="48" spans="1:8" s="44" customFormat="1" x14ac:dyDescent="0.2">
      <c r="A48" s="5" t="s">
        <v>33</v>
      </c>
      <c r="B48" s="17">
        <v>2300</v>
      </c>
      <c r="C48" s="17">
        <v>2410</v>
      </c>
      <c r="D48" s="17">
        <v>2890</v>
      </c>
      <c r="E48" s="17">
        <v>7080</v>
      </c>
      <c r="F48" s="38">
        <v>6230</v>
      </c>
    </row>
    <row r="49" spans="1:11" s="44" customFormat="1" ht="12.75" x14ac:dyDescent="0.2">
      <c r="A49" s="53" t="s">
        <v>52</v>
      </c>
      <c r="B49" s="56">
        <v>33114</v>
      </c>
      <c r="C49" s="56">
        <v>40724</v>
      </c>
      <c r="D49" s="54">
        <v>47943</v>
      </c>
      <c r="E49" s="54">
        <v>37398</v>
      </c>
      <c r="F49" s="54">
        <v>31470</v>
      </c>
    </row>
    <row r="50" spans="1:11" s="44" customFormat="1" x14ac:dyDescent="0.2">
      <c r="A50" s="70" t="s">
        <v>76</v>
      </c>
      <c r="B50" s="17">
        <v>5</v>
      </c>
      <c r="C50" s="17">
        <v>5.3</v>
      </c>
      <c r="D50" s="17">
        <v>5</v>
      </c>
      <c r="E50" s="17">
        <v>5.2</v>
      </c>
      <c r="F50" s="17">
        <v>5.2</v>
      </c>
    </row>
    <row r="51" spans="1:11" x14ac:dyDescent="0.2">
      <c r="A51" s="13" t="s">
        <v>25</v>
      </c>
      <c r="B51" s="13"/>
      <c r="C51" s="14"/>
      <c r="D51" s="15"/>
      <c r="E51" s="15"/>
      <c r="F51" s="36"/>
    </row>
    <row r="52" spans="1:11" s="44" customFormat="1" ht="12.75" x14ac:dyDescent="0.2">
      <c r="A52" s="3" t="s">
        <v>53</v>
      </c>
      <c r="B52" s="58">
        <v>1388.8</v>
      </c>
      <c r="C52" s="58">
        <v>1729</v>
      </c>
      <c r="D52" s="58">
        <v>2125.6</v>
      </c>
      <c r="E52" s="58">
        <v>2158.3000000000002</v>
      </c>
      <c r="F52" s="58">
        <v>2915.4013884599867</v>
      </c>
    </row>
    <row r="53" spans="1:11" s="44" customFormat="1" ht="15" x14ac:dyDescent="0.2">
      <c r="A53" s="3" t="s">
        <v>54</v>
      </c>
      <c r="B53" s="59">
        <f>+B52-B54</f>
        <v>857.09999999999991</v>
      </c>
      <c r="C53" s="59">
        <f t="shared" ref="C53:F53" si="0">+C52-C54</f>
        <v>1092.4000000000001</v>
      </c>
      <c r="D53" s="59">
        <f t="shared" si="0"/>
        <v>1358.8</v>
      </c>
      <c r="E53" s="59">
        <f t="shared" si="0"/>
        <v>1272.0000000000002</v>
      </c>
      <c r="F53" s="59">
        <f t="shared" si="0"/>
        <v>1764.4994700287268</v>
      </c>
    </row>
    <row r="54" spans="1:11" s="44" customFormat="1" ht="12.75" x14ac:dyDescent="0.2">
      <c r="A54" s="28" t="s">
        <v>26</v>
      </c>
      <c r="B54" s="58">
        <v>531.70000000000005</v>
      </c>
      <c r="C54" s="58">
        <v>636.6</v>
      </c>
      <c r="D54" s="58">
        <v>766.8</v>
      </c>
      <c r="E54" s="58">
        <v>886.3</v>
      </c>
      <c r="F54" s="58">
        <v>1150.9019184312599</v>
      </c>
    </row>
    <row r="55" spans="1:11" x14ac:dyDescent="0.2">
      <c r="A55" s="13" t="s">
        <v>27</v>
      </c>
      <c r="B55" s="13"/>
      <c r="C55" s="14"/>
      <c r="D55" s="15"/>
      <c r="E55" s="15"/>
      <c r="F55" s="36"/>
    </row>
    <row r="56" spans="1:11" s="44" customFormat="1" x14ac:dyDescent="0.2">
      <c r="A56" s="3" t="s">
        <v>55</v>
      </c>
      <c r="B56" s="76">
        <v>21903.383033333332</v>
      </c>
      <c r="C56" s="76">
        <v>21903.383033333332</v>
      </c>
      <c r="D56" s="77">
        <v>21903.383033333335</v>
      </c>
      <c r="E56" s="77">
        <v>21915.600000000002</v>
      </c>
      <c r="F56" s="78">
        <v>21915.600000000002</v>
      </c>
    </row>
    <row r="57" spans="1:11" s="44" customFormat="1" x14ac:dyDescent="0.2">
      <c r="A57" s="3" t="s">
        <v>56</v>
      </c>
      <c r="B57" s="18">
        <v>6511.6220000000003</v>
      </c>
      <c r="C57" s="18">
        <v>4111.6219999999994</v>
      </c>
      <c r="D57" s="18">
        <v>2887.84</v>
      </c>
      <c r="E57" s="18">
        <v>1667.2</v>
      </c>
      <c r="F57" s="39">
        <v>667.20000000000027</v>
      </c>
      <c r="G57" s="79"/>
      <c r="H57" s="79"/>
      <c r="I57" s="80"/>
      <c r="J57" s="80"/>
      <c r="K57" s="80"/>
    </row>
    <row r="58" spans="1:11" s="44" customFormat="1" x14ac:dyDescent="0.2">
      <c r="A58" s="3" t="s">
        <v>57</v>
      </c>
      <c r="B58" s="19">
        <v>658732</v>
      </c>
      <c r="C58" s="19">
        <v>711589</v>
      </c>
      <c r="D58" s="19">
        <v>776277</v>
      </c>
      <c r="E58" s="19">
        <v>844719</v>
      </c>
      <c r="F58" s="40">
        <v>881709</v>
      </c>
    </row>
    <row r="59" spans="1:11" s="44" customFormat="1" x14ac:dyDescent="0.2">
      <c r="A59" s="3" t="s">
        <v>58</v>
      </c>
      <c r="B59" s="17">
        <v>145931</v>
      </c>
      <c r="C59" s="17">
        <v>184531</v>
      </c>
      <c r="D59" s="17">
        <v>211116</v>
      </c>
      <c r="E59" s="17">
        <v>236946</v>
      </c>
      <c r="F59" s="38">
        <v>259184</v>
      </c>
    </row>
    <row r="60" spans="1:11" s="44" customFormat="1" x14ac:dyDescent="0.2">
      <c r="A60" s="3" t="s">
        <v>59</v>
      </c>
      <c r="B60" s="81">
        <v>279</v>
      </c>
      <c r="C60" s="81">
        <v>288</v>
      </c>
      <c r="D60" s="82">
        <v>297</v>
      </c>
      <c r="E60" s="82">
        <v>311</v>
      </c>
      <c r="F60" s="83">
        <v>318</v>
      </c>
    </row>
    <row r="61" spans="1:11" s="44" customFormat="1" x14ac:dyDescent="0.2">
      <c r="A61" s="3" t="s">
        <v>60</v>
      </c>
      <c r="B61" s="84">
        <f>+B56-B57</f>
        <v>15391.761033333332</v>
      </c>
      <c r="C61" s="84">
        <f t="shared" ref="C61:F61" si="1">+C56-C57</f>
        <v>17791.761033333332</v>
      </c>
      <c r="D61" s="84">
        <f t="shared" si="1"/>
        <v>19015.543033333335</v>
      </c>
      <c r="E61" s="84">
        <f t="shared" si="1"/>
        <v>20248.400000000001</v>
      </c>
      <c r="F61" s="84">
        <f t="shared" si="1"/>
        <v>21248.400000000001</v>
      </c>
    </row>
    <row r="62" spans="1:11" s="44" customFormat="1" x14ac:dyDescent="0.2">
      <c r="A62" s="3" t="s">
        <v>61</v>
      </c>
      <c r="B62" s="81">
        <v>878138</v>
      </c>
      <c r="C62" s="81">
        <v>903544</v>
      </c>
      <c r="D62" s="82">
        <v>929734</v>
      </c>
      <c r="E62" s="82">
        <v>963065</v>
      </c>
      <c r="F62" s="83">
        <v>1007211</v>
      </c>
    </row>
    <row r="63" spans="1:11" s="44" customFormat="1" x14ac:dyDescent="0.2">
      <c r="A63" s="3" t="s">
        <v>62</v>
      </c>
      <c r="B63" s="17">
        <v>145931</v>
      </c>
      <c r="C63" s="17">
        <v>184531</v>
      </c>
      <c r="D63" s="17">
        <v>211116</v>
      </c>
      <c r="E63" s="17">
        <v>236946</v>
      </c>
      <c r="F63" s="38">
        <v>259184</v>
      </c>
    </row>
    <row r="64" spans="1:11" s="44" customFormat="1" x14ac:dyDescent="0.2">
      <c r="A64" s="3" t="s">
        <v>63</v>
      </c>
      <c r="B64" s="81">
        <v>275849</v>
      </c>
      <c r="C64" s="81">
        <v>278485</v>
      </c>
      <c r="D64" s="81">
        <v>311030</v>
      </c>
      <c r="E64" s="81">
        <v>345852</v>
      </c>
      <c r="F64" s="85">
        <v>360045</v>
      </c>
    </row>
    <row r="65" spans="1:6" x14ac:dyDescent="0.2">
      <c r="A65" s="13" t="s">
        <v>28</v>
      </c>
      <c r="B65" s="13"/>
      <c r="C65" s="14"/>
      <c r="D65" s="15"/>
      <c r="E65" s="15"/>
      <c r="F65" s="36"/>
    </row>
    <row r="66" spans="1:6" s="44" customFormat="1" x14ac:dyDescent="0.2">
      <c r="A66" s="3" t="s">
        <v>64</v>
      </c>
      <c r="B66" s="19">
        <v>1267</v>
      </c>
      <c r="C66" s="19">
        <v>1267</v>
      </c>
      <c r="D66" s="19">
        <v>1266</v>
      </c>
      <c r="E66" s="19">
        <v>1268</v>
      </c>
      <c r="F66" s="40">
        <v>1275</v>
      </c>
    </row>
    <row r="67" spans="1:6" s="44" customFormat="1" x14ac:dyDescent="0.2">
      <c r="A67" s="3" t="s">
        <v>65</v>
      </c>
      <c r="B67" s="19">
        <v>702</v>
      </c>
      <c r="C67" s="19">
        <v>735</v>
      </c>
      <c r="D67" s="19">
        <v>749</v>
      </c>
      <c r="E67" s="19">
        <v>766</v>
      </c>
      <c r="F67" s="40">
        <v>779</v>
      </c>
    </row>
    <row r="68" spans="1:6" s="44" customFormat="1" x14ac:dyDescent="0.2">
      <c r="A68" s="3" t="s">
        <v>66</v>
      </c>
      <c r="B68" s="19">
        <v>67</v>
      </c>
      <c r="C68" s="19">
        <v>69.7</v>
      </c>
      <c r="D68" s="19">
        <v>70.400000000000006</v>
      </c>
      <c r="E68" s="19">
        <v>72.099999999999994</v>
      </c>
      <c r="F68" s="40">
        <v>75.599999999999994</v>
      </c>
    </row>
    <row r="69" spans="1:6" s="44" customFormat="1" x14ac:dyDescent="0.2">
      <c r="A69" s="4" t="s">
        <v>67</v>
      </c>
      <c r="B69" s="17">
        <v>11</v>
      </c>
      <c r="C69" s="17">
        <v>23</v>
      </c>
      <c r="D69" s="17">
        <v>35</v>
      </c>
      <c r="E69" s="17">
        <v>42</v>
      </c>
      <c r="F69" s="38">
        <v>55</v>
      </c>
    </row>
    <row r="70" spans="1:6" s="44" customFormat="1" x14ac:dyDescent="0.2">
      <c r="A70" s="4" t="s">
        <v>68</v>
      </c>
      <c r="B70" s="20">
        <v>2527</v>
      </c>
      <c r="C70" s="20">
        <v>2703</v>
      </c>
      <c r="D70" s="20">
        <v>3133</v>
      </c>
      <c r="E70" s="20">
        <v>3121</v>
      </c>
      <c r="F70" s="41">
        <v>3158</v>
      </c>
    </row>
    <row r="71" spans="1:6" x14ac:dyDescent="0.2">
      <c r="A71" s="13" t="s">
        <v>29</v>
      </c>
      <c r="B71" s="13"/>
      <c r="C71" s="14"/>
      <c r="D71" s="15"/>
      <c r="E71" s="15"/>
      <c r="F71" s="36"/>
    </row>
    <row r="72" spans="1:6" s="44" customFormat="1" x14ac:dyDescent="0.2">
      <c r="A72" s="4" t="s">
        <v>69</v>
      </c>
      <c r="B72" s="17">
        <v>106837</v>
      </c>
      <c r="C72" s="17">
        <v>107329</v>
      </c>
      <c r="D72" s="17">
        <v>109413</v>
      </c>
      <c r="E72" s="17">
        <v>108542</v>
      </c>
      <c r="F72" s="38">
        <v>107867</v>
      </c>
    </row>
    <row r="73" spans="1:6" s="44" customFormat="1" x14ac:dyDescent="0.2">
      <c r="A73" s="60" t="s">
        <v>77</v>
      </c>
      <c r="B73" s="17">
        <v>8685</v>
      </c>
      <c r="C73" s="17">
        <v>8601</v>
      </c>
      <c r="D73" s="17">
        <v>8554</v>
      </c>
      <c r="E73" s="17">
        <v>8494</v>
      </c>
      <c r="F73" s="38">
        <v>8383</v>
      </c>
    </row>
    <row r="74" spans="1:6" s="44" customFormat="1" x14ac:dyDescent="0.2">
      <c r="A74" s="4" t="s">
        <v>70</v>
      </c>
      <c r="B74" s="17">
        <v>85389</v>
      </c>
      <c r="C74" s="20">
        <v>85465</v>
      </c>
      <c r="D74" s="20">
        <v>86554</v>
      </c>
      <c r="E74" s="20">
        <v>90398</v>
      </c>
      <c r="F74" s="41">
        <v>91035</v>
      </c>
    </row>
    <row r="75" spans="1:6" x14ac:dyDescent="0.2">
      <c r="A75" s="13" t="s">
        <v>31</v>
      </c>
      <c r="B75" s="21" t="s">
        <v>30</v>
      </c>
      <c r="C75" s="14"/>
      <c r="D75" s="15"/>
      <c r="E75" s="15"/>
      <c r="F75" s="36"/>
    </row>
    <row r="76" spans="1:6" s="44" customFormat="1" ht="12.75" x14ac:dyDescent="0.2">
      <c r="A76" s="60" t="s">
        <v>71</v>
      </c>
      <c r="B76" s="61">
        <v>5723.6</v>
      </c>
      <c r="C76" s="61">
        <v>7163.2</v>
      </c>
      <c r="D76" s="61">
        <v>7915.6</v>
      </c>
      <c r="E76" s="61">
        <v>10676.7</v>
      </c>
      <c r="F76" s="61">
        <v>11820.347080491903</v>
      </c>
    </row>
    <row r="77" spans="1:6" s="44" customFormat="1" ht="12.75" x14ac:dyDescent="0.2">
      <c r="A77" s="60" t="s">
        <v>72</v>
      </c>
      <c r="B77" s="61">
        <v>6882.4</v>
      </c>
      <c r="C77" s="61">
        <v>8863.5</v>
      </c>
      <c r="D77" s="61">
        <v>11468.2</v>
      </c>
      <c r="E77" s="61">
        <v>14347.4</v>
      </c>
      <c r="F77" s="61">
        <v>18015.7</v>
      </c>
    </row>
    <row r="78" spans="1:6" s="45" customFormat="1" x14ac:dyDescent="0.2">
      <c r="A78" s="1" t="s">
        <v>73</v>
      </c>
      <c r="B78" s="22"/>
      <c r="C78" s="22"/>
      <c r="D78" s="22"/>
      <c r="E78" s="22"/>
      <c r="F78" s="42"/>
    </row>
    <row r="79" spans="1:6" s="44" customFormat="1" ht="12.75" x14ac:dyDescent="0.2">
      <c r="A79" s="60" t="s">
        <v>74</v>
      </c>
      <c r="B79" s="61">
        <v>3920.7</v>
      </c>
      <c r="C79" s="61">
        <v>4642.5</v>
      </c>
      <c r="D79" s="61">
        <v>6176.9</v>
      </c>
      <c r="E79" s="61">
        <v>6806.4</v>
      </c>
      <c r="F79" s="61">
        <v>8823.6</v>
      </c>
    </row>
    <row r="80" spans="1:6" s="44" customFormat="1" ht="12.75" x14ac:dyDescent="0.2">
      <c r="A80" s="60" t="s">
        <v>75</v>
      </c>
      <c r="B80" s="61">
        <v>10108.9</v>
      </c>
      <c r="C80" s="61">
        <v>10328.9</v>
      </c>
      <c r="D80" s="61">
        <v>12255.3</v>
      </c>
      <c r="E80" s="61">
        <v>13623.8</v>
      </c>
      <c r="F80" s="61">
        <v>14004</v>
      </c>
    </row>
  </sheetData>
  <protectedRanges>
    <protectedRange sqref="D80" name="Диапазон1_2_1_1_1_1_1_1_1_1_1"/>
  </protectedRanges>
  <mergeCells count="2">
    <mergeCell ref="A5:F5"/>
    <mergeCell ref="A12:F12"/>
  </mergeCells>
  <pageMargins left="0.7" right="0.7" top="0.75" bottom="0.75" header="0.3" footer="0.3"/>
  <pageSetup paperSize="9" scale="85" orientation="portrait" verticalDpi="180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Лист1</vt:lpstr>
      <vt:lpstr>Лист2</vt:lpstr>
      <vt:lpstr>Лист3</vt:lpstr>
      <vt:lpstr>Лист1!bookmark10</vt:lpstr>
      <vt:lpstr>Лист1!bookmark12</vt:lpstr>
      <vt:lpstr>Лист1!bookmark14</vt:lpstr>
      <vt:lpstr>Лист1!bookmark6</vt:lpstr>
      <vt:lpstr>Лист1!bookmark8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2026-04-24T04:55:08Z</dcterms:modified>
</cp:coreProperties>
</file>